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https://beisgov.sharepoint.com/sites/UKETSDelShare/Shared Documents/CCA Register/Data migration/02 Existing facility migration/"/>
    </mc:Choice>
  </mc:AlternateContent>
  <xr:revisionPtr revIDLastSave="188" documentId="8_{B9CDFD91-AC6F-41CB-AEA1-FA0F8DF2D6B7}" xr6:coauthVersionLast="47" xr6:coauthVersionMax="47" xr10:uidLastSave="{02944BDF-5075-4651-B573-38C72CDD04B5}"/>
  <bookViews>
    <workbookView xWindow="-120" yWindow="-120" windowWidth="29040" windowHeight="15720" tabRatio="688" xr2:uid="{B3191EEA-B32E-44CD-A858-40B89B0A4B44}"/>
  </bookViews>
  <sheets>
    <sheet name="Facility details" sheetId="8" r:id="rId1"/>
    <sheet name="Base year fuel types" sheetId="1" r:id="rId2"/>
    <sheet name="Base year data split" sheetId="6" r:id="rId3"/>
    <sheet name="Facility targets" sheetId="15" r:id="rId4"/>
    <sheet name="Data for MyCCA" sheetId="5" r:id="rId5"/>
    <sheet name="Monthly BY data (optional)" sheetId="13" r:id="rId6"/>
    <sheet name="Weekly BY data (optional)" sheetId="11" r:id="rId7"/>
    <sheet name="Monthly BY multi-prod" sheetId="17" r:id="rId8"/>
    <sheet name="Weekly BY multi-prod" sheetId="16" r:id="rId9"/>
    <sheet name="Fuels" sheetId="2" r:id="rId10"/>
    <sheet name="Fuel properties" sheetId="9" r:id="rId11"/>
    <sheet name="UK electricity" sheetId="3" state="hidden" r:id="rId12"/>
    <sheet name="Transmission and distribution" sheetId="4" state="hidden" r:id="rId13"/>
    <sheet name="Lists" sheetId="14" r:id="rId14"/>
  </sheets>
  <definedNames>
    <definedName name="CARBON">Lists!$B$5:$B$6</definedName>
    <definedName name="carbonFactorNonGridElecNonRenew">'Base year fuel types'!#REF!</definedName>
    <definedName name="carbonFactorOtherFuel01">'Base year fuel types'!$D$18</definedName>
    <definedName name="carbonFactorOtherFuel02">'Base year fuel types'!$D$19</definedName>
    <definedName name="carbonFactorOtherFuel03">'Base year fuel types'!$D$20</definedName>
    <definedName name="carbonFactorOtherFuel04">'Base year fuel types'!$D$21</definedName>
    <definedName name="carbonFactorOtherFuel05">'Base year fuel types'!$D$22</definedName>
    <definedName name="carbonFactorOtherFuel06">'Base year fuel types'!$D$23</definedName>
    <definedName name="carbonFactorOtherFuel07">'Base year fuel types'!$D$24</definedName>
    <definedName name="carbonFactorOtherFuel08">'Base year fuel types'!$D$25</definedName>
    <definedName name="carbonFactorOtherFuel09">'Base year fuel types'!$D$26</definedName>
    <definedName name="carbonFactorOtherFuel10">'Base year fuel types'!$D$27</definedName>
    <definedName name="carbonFactorOtherFuel11">'Base year fuel types'!$D$28</definedName>
    <definedName name="ENERGY">Lists!$B$2:$B$4</definedName>
    <definedName name="facilityAddress">'Facility details'!$B$5</definedName>
    <definedName name="facilityBaseYear">'Facility targets'!$B$19</definedName>
    <definedName name="facilityBYStartDate">'Facility details'!$B$6</definedName>
    <definedName name="facilityBYWeightedCarbonFactor">'Base year fuel types'!$D$31</definedName>
    <definedName name="facilityID">'Facility details'!$B$3</definedName>
    <definedName name="facilityInETS">'Facility details'!$B$9</definedName>
    <definedName name="facilityName">'Facility details'!$B$4</definedName>
    <definedName name="facilityTargetTP7">'Facility targets'!$C$13</definedName>
    <definedName name="facilityTargetTP8">'Facility targets'!$C$15</definedName>
    <definedName name="facilityTargetTP9">'Facility targets'!$C$17</definedName>
    <definedName name="fixedPrimaryAmount">'Base year data split'!$G$4</definedName>
    <definedName name="fixedThroughput">'Base year data split'!$D$4</definedName>
    <definedName name="fixedThroughputUnit">'Base year data split'!$E$4</definedName>
    <definedName name="fixWkly">'Weekly BY multi-prod'!$B$59</definedName>
    <definedName name="nameOtherFuel01">'Base year fuel types'!$A$18</definedName>
    <definedName name="nameOtherFuel02">'Base year fuel types'!$A$19</definedName>
    <definedName name="nameOtherFuel03">'Base year fuel types'!$A$20</definedName>
    <definedName name="nameOtherFuel04">'Base year fuel types'!$A$21</definedName>
    <definedName name="nameOtherFuel05">'Base year fuel types'!$A$22</definedName>
    <definedName name="nameOtherFuel06">'Base year fuel types'!$A$23</definedName>
    <definedName name="nameOtherFuel07">'Base year fuel types'!$A$24</definedName>
    <definedName name="nameOtherFuel08">'Base year fuel types'!$A$25</definedName>
    <definedName name="nameOtherFuel09">'Base year fuel types'!$A$26</definedName>
    <definedName name="nameOtherFuel10">'Base year fuel types'!$A$27</definedName>
    <definedName name="nameOtherFuel11">'Base year fuel types'!$A$28</definedName>
    <definedName name="primaryAmountAll">'Base year fuel types'!$E$29</definedName>
    <definedName name="primaryBaseYearEnergy" localSheetId="5">'Base year fuel types'!$E$29</definedName>
    <definedName name="primaryBaseYearEnergy" localSheetId="7">'Base year fuel types'!$E$29</definedName>
    <definedName name="primaryBaseYearEnergy" localSheetId="6">'Base year fuel types'!$E$29</definedName>
    <definedName name="primaryBaseYearEnergy" localSheetId="8">'Base year fuel types'!$E$29</definedName>
    <definedName name="primaryCoal">'Base year fuel types'!$E$8</definedName>
    <definedName name="primaryCoke">'Base year fuel types'!$E$9</definedName>
    <definedName name="primaryConversionFactor">'Base year fuel types'!#REF!</definedName>
    <definedName name="primaryEthane">'Base year fuel types'!$E$11</definedName>
    <definedName name="primaryFuelOil">'Base year fuel types'!$E$7</definedName>
    <definedName name="primaryGasOil">'Base year fuel types'!$E$14</definedName>
    <definedName name="primaryGridElec">'Base year fuel types'!$E$4</definedName>
    <definedName name="primaryKerosene">'Base year fuel types'!$E$12</definedName>
    <definedName name="primaryLPG">'Base year fuel types'!$E$10</definedName>
    <definedName name="primaryNaphtha">'Base year fuel types'!$E$15</definedName>
    <definedName name="primaryNaturalGas">'Base year fuel types'!$E$6</definedName>
    <definedName name="primaryNonGridElecNonRenew">'Base year fuel types'!#REF!</definedName>
    <definedName name="primaryNonGridElecRenewables">'Base year fuel types'!$E$5</definedName>
    <definedName name="primaryOtherFuel01">'Base year fuel types'!$E$18</definedName>
    <definedName name="primaryOtherFuel02">'Base year fuel types'!$E$19</definedName>
    <definedName name="primaryOtherFuel03">'Base year fuel types'!$E$20</definedName>
    <definedName name="primaryOtherFuel04">'Base year fuel types'!$E$21</definedName>
    <definedName name="primaryOtherFuel05">'Base year fuel types'!$E$22</definedName>
    <definedName name="primaryOtherFuel06">'Base year fuel types'!$E$23</definedName>
    <definedName name="primaryOtherFuel07">'Base year fuel types'!$E$24</definedName>
    <definedName name="primaryOtherFuel08">'Base year fuel types'!$E$25</definedName>
    <definedName name="primaryOtherFuel09">'Base year fuel types'!$E$26</definedName>
    <definedName name="primaryOtherFuel10">'Base year fuel types'!$E$27</definedName>
    <definedName name="primaryOtherFuel11">'Base year fuel types'!$E$28</definedName>
    <definedName name="primaryPetCoke">'Base year fuel types'!$E$16</definedName>
    <definedName name="primaryPetrol">'Base year fuel types'!$E$13</definedName>
    <definedName name="primaryRefineryGas">'Base year fuel types'!$E$17</definedName>
    <definedName name="productBaseYear">Lists!$C$2:$C$10</definedName>
    <definedName name="reportingUnits">'Facility details'!$B$8</definedName>
    <definedName name="sectorTargetTP7">'Facility targets'!$B$4</definedName>
    <definedName name="sectorTargetTP8">'Facility targets'!$B$5</definedName>
    <definedName name="sectorTargetTP9">'Facility targets'!$B$6</definedName>
    <definedName name="targetType">'Facility details'!$B$7</definedName>
    <definedName name="variableIntensityProduct01">'Base year data split'!$F$6</definedName>
    <definedName name="variableIntensityProduct02">'Base year data split'!$F$7</definedName>
    <definedName name="variableIntensityProduct03">'Base year data split'!$F$8</definedName>
    <definedName name="variableIntensityProduct04">'Base year data split'!$F$9</definedName>
    <definedName name="variableIntensityProduct05">'Base year data split'!$F$10</definedName>
    <definedName name="variableIntensityProduct06">'Base year data split'!$F$11</definedName>
    <definedName name="variableIntensityProduct07">'Base year data split'!$F$12</definedName>
    <definedName name="variableIntensityProduct08">'Base year data split'!$F$13</definedName>
    <definedName name="variableIntensityProduct09">'Base year data split'!$F$14</definedName>
    <definedName name="variableIntensityProduct10">'Base year data split'!$F$15</definedName>
    <definedName name="variableIntensityProduct11">'Base year data split'!$F$16</definedName>
    <definedName name="variableIntensityProduct12">'Base year data split'!$F$17</definedName>
    <definedName name="variableIntensityProduct13">'Base year data split'!$F$18</definedName>
    <definedName name="variableIntensityProduct14">'Base year data split'!$F$19</definedName>
    <definedName name="variableIntensityProduct15">'Base year data split'!$F$20</definedName>
    <definedName name="variablePrimaryAmountProduct01">'Base year data split'!$G$6</definedName>
    <definedName name="variablePrimaryAmountProduct02">'Base year data split'!$G$7</definedName>
    <definedName name="variablePrimaryAmountProduct03">'Base year data split'!$G$8</definedName>
    <definedName name="variablePrimaryAmountProduct04">'Base year data split'!$G$9</definedName>
    <definedName name="variablePrimaryAmountProduct05">'Base year data split'!$G$10</definedName>
    <definedName name="variablePrimaryAmountProduct06">'Base year data split'!$G$11</definedName>
    <definedName name="variablePrimaryAmountProduct07">'Base year data split'!$G$12</definedName>
    <definedName name="variablePrimaryAmountProduct08">'Base year data split'!$G$13</definedName>
    <definedName name="variablePrimaryAmountProduct09">'Base year data split'!$G$14</definedName>
    <definedName name="variablePrimaryAmountProduct10">'Base year data split'!$G$15</definedName>
    <definedName name="variablePrimaryAmountProduct11">'Base year data split'!$G$16</definedName>
    <definedName name="variablePrimaryAmountProduct12">'Base year data split'!$G$17</definedName>
    <definedName name="variablePrimaryAmountProduct13">'Base year data split'!$G$18</definedName>
    <definedName name="variablePrimaryAmountProduct14">'Base year data split'!$G$19</definedName>
    <definedName name="variablePrimaryAmountProduct15">'Base year data split'!$G$20</definedName>
    <definedName name="variableProductName01">'Base year data split'!$B$6</definedName>
    <definedName name="variableProductName02">'Base year data split'!$B$7</definedName>
    <definedName name="variableProductName03">'Base year data split'!$B$8</definedName>
    <definedName name="variableProductName04">'Base year data split'!$B$9</definedName>
    <definedName name="variableProductName05">'Base year data split'!$B$10</definedName>
    <definedName name="variableProductName06">'Base year data split'!$B$11</definedName>
    <definedName name="variableProductName07">'Base year data split'!$B$12</definedName>
    <definedName name="variableProductName08">'Base year data split'!$B$13</definedName>
    <definedName name="variableProductName09">'Base year data split'!$B$14</definedName>
    <definedName name="variableProductName10">'Base year data split'!$B$15</definedName>
    <definedName name="variableProductName11">'Base year data split'!$B$16</definedName>
    <definedName name="variableProductName12">'Base year data split'!$B$17</definedName>
    <definedName name="variableProductName13">'Base year data split'!$B$18</definedName>
    <definedName name="variableProductName14">'Base year data split'!$B$19</definedName>
    <definedName name="variableProductName15">'Base year data split'!$B$20</definedName>
    <definedName name="variableThroughputProduct01">'Base year data split'!$D$6</definedName>
    <definedName name="variableThroughputProduct02">'Base year data split'!$D$7</definedName>
    <definedName name="variableThroughputProduct03">'Base year data split'!$D$8</definedName>
    <definedName name="variableThroughputProduct04">'Base year data split'!$D$9</definedName>
    <definedName name="variableThroughputProduct05">'Base year data split'!$D$10</definedName>
    <definedName name="variableThroughputProduct06">'Base year data split'!$D$11</definedName>
    <definedName name="variableThroughputProduct07">'Base year data split'!$D$12</definedName>
    <definedName name="variableThroughputProduct08">'Base year data split'!$D$13</definedName>
    <definedName name="variableThroughputProduct09">'Base year data split'!$D$14</definedName>
    <definedName name="variableThroughputProduct10">'Base year data split'!$D$15</definedName>
    <definedName name="variableThroughputProduct11">'Base year data split'!$D$16</definedName>
    <definedName name="variableThroughputProduct12">'Base year data split'!$D$17</definedName>
    <definedName name="variableThroughputProduct13">'Base year data split'!$D$18</definedName>
    <definedName name="variableThroughputProduct14">'Base year data split'!$D$19</definedName>
    <definedName name="variableThroughputProduct15">'Base year data split'!$D$20</definedName>
    <definedName name="variableThroughputUnitProduct01">'Base year data split'!$E$6</definedName>
    <definedName name="variableThroughputUnitProduct02">'Base year data split'!$E$7</definedName>
    <definedName name="variableThroughputUnitProduct03">'Base year data split'!$E$8</definedName>
    <definedName name="variableThroughputUnitProduct04">'Base year data split'!$E$9</definedName>
    <definedName name="variableThroughputUnitProduct05">'Base year data split'!$E$10</definedName>
    <definedName name="variableThroughputUnitProduct06">'Base year data split'!$E$11</definedName>
    <definedName name="variableThroughputUnitProduct07">'Base year data split'!$E$12</definedName>
    <definedName name="variableThroughputUnitProduct08">'Base year data split'!$E$13</definedName>
    <definedName name="variableThroughputUnitProduct09">'Base year data split'!$E$14</definedName>
    <definedName name="variableThroughputUnitProduct10">'Base year data split'!$E$15</definedName>
    <definedName name="variableThroughputUnitProduct11">'Base year data split'!$E$16</definedName>
    <definedName name="variableThroughputUnitProduct12">'Base year data split'!$E$17</definedName>
    <definedName name="variableThroughputUnitProduct13">'Base year data split'!$E$18</definedName>
    <definedName name="variableThroughputUnitProduct14">'Base year data split'!$E$19</definedName>
    <definedName name="variableThroughputUnitProduct15">'Base year data split'!$E$20</definedName>
    <definedName name="variableTotalIntensity">'Base year data split'!$F$5</definedName>
    <definedName name="variableTotalPrimaryAmount">'Base year data split'!$G$5</definedName>
    <definedName name="variableTotalThroughput">'Base year data split'!$D$5</definedName>
    <definedName name="variableTotalThroughputUnit">'Base year data split'!$E$5</definedName>
    <definedName name="varWklyProd1">'Weekly BY multi-prod'!$B$60</definedName>
    <definedName name="varWklyProd10">'Weekly BY multi-prod'!$B$69</definedName>
    <definedName name="varWklyProd11">'Weekly BY multi-prod'!$B$70</definedName>
    <definedName name="varWklyProd12">'Weekly BY multi-prod'!$B$71</definedName>
    <definedName name="varWklyProd13">'Weekly BY multi-prod'!$B$72</definedName>
    <definedName name="varWklyProd14">'Weekly BY multi-prod'!$B$73</definedName>
    <definedName name="varWklyProd15">'Weekly BY multi-prod'!$B$74</definedName>
    <definedName name="varWklyProd2">'Weekly BY multi-prod'!$B$61</definedName>
    <definedName name="varWklyProd3">'Weekly BY multi-prod'!$B$62</definedName>
    <definedName name="varWklyProd4">'Weekly BY multi-prod'!$B$63</definedName>
    <definedName name="varWklyProd5">'Weekly BY multi-prod'!$B$64</definedName>
    <definedName name="varWklyProd6">'Weekly BY multi-prod'!$B$65</definedName>
    <definedName name="varWklyProd7">'Weekly BY multi-prod'!$B$66</definedName>
    <definedName name="varWklyProd8">'Weekly BY multi-prod'!$B$67</definedName>
    <definedName name="varWklyProd9">'Weekly BY multi-prod'!$B$68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6" l="1"/>
  <c r="C6" i="8"/>
  <c r="C25" i="5" l="1"/>
  <c r="C26" i="5"/>
  <c r="C28" i="5"/>
  <c r="C29" i="5"/>
  <c r="C31" i="5"/>
  <c r="C32" i="5"/>
  <c r="C34" i="5"/>
  <c r="C35" i="5"/>
  <c r="C37" i="5"/>
  <c r="C38" i="5"/>
  <c r="C40" i="5"/>
  <c r="C41" i="5"/>
  <c r="O18" i="17"/>
  <c r="O58" i="16"/>
  <c r="B74" i="16" a="1"/>
  <c r="B74" i="16" s="1"/>
  <c r="B73" i="16" a="1"/>
  <c r="B73" i="16" s="1"/>
  <c r="B72" i="16" a="1"/>
  <c r="B72" i="16" s="1"/>
  <c r="B71" i="16" a="1"/>
  <c r="B71" i="16" s="1"/>
  <c r="B70" i="16" a="1"/>
  <c r="B70" i="16" s="1"/>
  <c r="B69" i="16" a="1"/>
  <c r="B69" i="16" s="1"/>
  <c r="B68" i="16" a="1"/>
  <c r="B68" i="16" s="1"/>
  <c r="B67" i="16" a="1"/>
  <c r="B67" i="16" s="1"/>
  <c r="B66" i="16" a="1"/>
  <c r="B66" i="16" s="1"/>
  <c r="B65" i="16" a="1"/>
  <c r="B65" i="16" s="1"/>
  <c r="B64" i="16" a="1"/>
  <c r="B64" i="16" s="1"/>
  <c r="B63" i="16" a="1"/>
  <c r="B63" i="16" s="1"/>
  <c r="B62" i="16" a="1"/>
  <c r="B62" i="16" s="1"/>
  <c r="B61" i="16" a="1"/>
  <c r="B61" i="16" s="1"/>
  <c r="B60" i="16" a="1"/>
  <c r="B60" i="16" s="1"/>
  <c r="A74" i="16"/>
  <c r="A73" i="16"/>
  <c r="A72" i="16"/>
  <c r="A71" i="16"/>
  <c r="A70" i="16"/>
  <c r="A69" i="16"/>
  <c r="A68" i="16"/>
  <c r="A67" i="16"/>
  <c r="A66" i="16"/>
  <c r="A65" i="16"/>
  <c r="A64" i="16"/>
  <c r="A63" i="16"/>
  <c r="A62" i="16"/>
  <c r="A61" i="16"/>
  <c r="A60" i="16"/>
  <c r="B59" i="16" a="1"/>
  <c r="B59" i="16" s="1"/>
  <c r="C74" i="16"/>
  <c r="C73" i="16"/>
  <c r="C72" i="16"/>
  <c r="C71" i="16"/>
  <c r="C70" i="16"/>
  <c r="C69" i="16"/>
  <c r="C68" i="16"/>
  <c r="C67" i="16"/>
  <c r="C66" i="16"/>
  <c r="C65" i="16"/>
  <c r="C64" i="16"/>
  <c r="C63" i="16"/>
  <c r="C62" i="16"/>
  <c r="C61" i="16"/>
  <c r="C60" i="16"/>
  <c r="C59" i="16"/>
  <c r="A59" i="16"/>
  <c r="R3" i="16"/>
  <c r="Q3" i="16"/>
  <c r="Q56" i="16"/>
  <c r="C56" i="16"/>
  <c r="D56" i="16"/>
  <c r="E56" i="16"/>
  <c r="F56" i="16"/>
  <c r="G56" i="16"/>
  <c r="H56" i="16"/>
  <c r="I56" i="16"/>
  <c r="J56" i="16"/>
  <c r="K56" i="16"/>
  <c r="L56" i="16"/>
  <c r="M56" i="16"/>
  <c r="N56" i="16"/>
  <c r="O56" i="16"/>
  <c r="P56" i="16"/>
  <c r="B56" i="16"/>
  <c r="A4" i="16"/>
  <c r="A5" i="16" s="1"/>
  <c r="A6" i="16" s="1"/>
  <c r="A7" i="16" s="1"/>
  <c r="A8" i="16" s="1"/>
  <c r="A9" i="16" s="1"/>
  <c r="A10" i="16" s="1"/>
  <c r="A11" i="16" s="1"/>
  <c r="A12" i="16" s="1"/>
  <c r="A13" i="16" s="1"/>
  <c r="A14" i="16" s="1"/>
  <c r="A15" i="16" s="1"/>
  <c r="A16" i="16" s="1"/>
  <c r="A17" i="16" s="1"/>
  <c r="A18" i="16" s="1"/>
  <c r="A19" i="16" s="1"/>
  <c r="A20" i="16" s="1"/>
  <c r="A21" i="16" s="1"/>
  <c r="A22" i="16" s="1"/>
  <c r="A23" i="16" s="1"/>
  <c r="A24" i="16" s="1"/>
  <c r="A25" i="16" s="1"/>
  <c r="A26" i="16" s="1"/>
  <c r="A27" i="16" s="1"/>
  <c r="A28" i="16" s="1"/>
  <c r="A29" i="16" s="1"/>
  <c r="A30" i="16" s="1"/>
  <c r="A31" i="16" s="1"/>
  <c r="A32" i="16" s="1"/>
  <c r="A33" i="16" s="1"/>
  <c r="A34" i="16" s="1"/>
  <c r="A35" i="16" s="1"/>
  <c r="A36" i="16" s="1"/>
  <c r="A37" i="16" s="1"/>
  <c r="A38" i="16" s="1"/>
  <c r="A39" i="16" s="1"/>
  <c r="A40" i="16" s="1"/>
  <c r="A41" i="16" s="1"/>
  <c r="A42" i="16" s="1"/>
  <c r="A43" i="16" s="1"/>
  <c r="A44" i="16" s="1"/>
  <c r="A45" i="16" s="1"/>
  <c r="A46" i="16" s="1"/>
  <c r="A47" i="16" s="1"/>
  <c r="A48" i="16" s="1"/>
  <c r="A49" i="16" s="1"/>
  <c r="A50" i="16" s="1"/>
  <c r="A51" i="16" s="1"/>
  <c r="A52" i="16" s="1"/>
  <c r="A53" i="16" s="1"/>
  <c r="A54" i="16" s="1"/>
  <c r="A55" i="16" s="1"/>
  <c r="A1" i="17"/>
  <c r="C16" i="17"/>
  <c r="D16" i="17"/>
  <c r="E16" i="17"/>
  <c r="F16" i="17"/>
  <c r="G16" i="17"/>
  <c r="H16" i="17"/>
  <c r="I16" i="17"/>
  <c r="J16" i="17"/>
  <c r="K16" i="17"/>
  <c r="L16" i="17"/>
  <c r="M16" i="17"/>
  <c r="N16" i="17"/>
  <c r="O16" i="17"/>
  <c r="P16" i="17"/>
  <c r="Q16" i="17"/>
  <c r="B16" i="17"/>
  <c r="C34" i="17"/>
  <c r="B34" i="17" a="1"/>
  <c r="B34" i="17" s="1"/>
  <c r="C33" i="17"/>
  <c r="B33" i="17" a="1"/>
  <c r="B33" i="17" s="1"/>
  <c r="C32" i="17"/>
  <c r="B32" i="17" a="1"/>
  <c r="B32" i="17" s="1"/>
  <c r="C31" i="17"/>
  <c r="B31" i="17" a="1"/>
  <c r="B31" i="17" s="1"/>
  <c r="C30" i="17"/>
  <c r="B30" i="17" a="1"/>
  <c r="B30" i="17" s="1"/>
  <c r="C29" i="17"/>
  <c r="B29" i="17" a="1"/>
  <c r="B29" i="17" s="1"/>
  <c r="C28" i="17"/>
  <c r="B28" i="17" a="1"/>
  <c r="B28" i="17" s="1"/>
  <c r="C27" i="17"/>
  <c r="B27" i="17" a="1"/>
  <c r="B27" i="17" s="1"/>
  <c r="C26" i="17"/>
  <c r="B26" i="17" a="1"/>
  <c r="B26" i="17" s="1"/>
  <c r="C25" i="17"/>
  <c r="B25" i="17" a="1"/>
  <c r="B25" i="17" s="1"/>
  <c r="C24" i="17"/>
  <c r="B24" i="17" a="1"/>
  <c r="B24" i="17" s="1"/>
  <c r="C23" i="17"/>
  <c r="B23" i="17" a="1"/>
  <c r="B23" i="17" s="1"/>
  <c r="C22" i="17"/>
  <c r="B22" i="17" a="1"/>
  <c r="B22" i="17" s="1"/>
  <c r="C21" i="17"/>
  <c r="B21" i="17" a="1"/>
  <c r="B21" i="17" s="1"/>
  <c r="C20" i="17"/>
  <c r="B20" i="17" a="1"/>
  <c r="B20" i="17" s="1"/>
  <c r="C19" i="17"/>
  <c r="B19" i="17" a="1"/>
  <c r="B19" i="17" s="1"/>
  <c r="A34" i="17"/>
  <c r="A33" i="17"/>
  <c r="A32" i="17"/>
  <c r="A31" i="17"/>
  <c r="A30" i="17"/>
  <c r="A29" i="17"/>
  <c r="A28" i="17"/>
  <c r="A27" i="17"/>
  <c r="A26" i="17"/>
  <c r="A25" i="17"/>
  <c r="A24" i="17"/>
  <c r="A23" i="17"/>
  <c r="A22" i="17"/>
  <c r="A21" i="17"/>
  <c r="A20" i="17"/>
  <c r="A19" i="17"/>
  <c r="R3" i="17"/>
  <c r="Q3" i="17"/>
  <c r="A15" i="17"/>
  <c r="A14" i="17"/>
  <c r="A13" i="17"/>
  <c r="A12" i="17"/>
  <c r="A11" i="17"/>
  <c r="A10" i="17"/>
  <c r="A9" i="17"/>
  <c r="A8" i="17"/>
  <c r="A7" i="17"/>
  <c r="A6" i="17"/>
  <c r="A5" i="17"/>
  <c r="A4" i="17"/>
  <c r="A5" i="13"/>
  <c r="A6" i="13"/>
  <c r="A7" i="13"/>
  <c r="A8" i="13"/>
  <c r="A9" i="13"/>
  <c r="A10" i="13"/>
  <c r="A11" i="13"/>
  <c r="A12" i="13"/>
  <c r="A13" i="13"/>
  <c r="A14" i="13"/>
  <c r="A15" i="13"/>
  <c r="A4" i="13"/>
  <c r="B19" i="15"/>
  <c r="C6" i="5"/>
  <c r="A4" i="11"/>
  <c r="A5" i="11" s="1"/>
  <c r="A6" i="11" s="1"/>
  <c r="A7" i="11" s="1"/>
  <c r="A8" i="11" s="1"/>
  <c r="A9" i="11" s="1"/>
  <c r="A10" i="11" s="1"/>
  <c r="A11" i="11" s="1"/>
  <c r="A12" i="11" s="1"/>
  <c r="A13" i="11" s="1"/>
  <c r="A14" i="11" s="1"/>
  <c r="A15" i="11" s="1"/>
  <c r="A16" i="11" s="1"/>
  <c r="A17" i="11" s="1"/>
  <c r="A18" i="11" s="1"/>
  <c r="A19" i="11" s="1"/>
  <c r="A20" i="11" s="1"/>
  <c r="A21" i="11" s="1"/>
  <c r="A22" i="11" s="1"/>
  <c r="A23" i="11" s="1"/>
  <c r="A24" i="11" s="1"/>
  <c r="A25" i="11" s="1"/>
  <c r="A26" i="11" s="1"/>
  <c r="A27" i="11" s="1"/>
  <c r="A28" i="11" s="1"/>
  <c r="A29" i="11" s="1"/>
  <c r="A30" i="11" s="1"/>
  <c r="A31" i="11" s="1"/>
  <c r="A32" i="11" s="1"/>
  <c r="A33" i="11" s="1"/>
  <c r="A34" i="11" s="1"/>
  <c r="A35" i="11" s="1"/>
  <c r="A36" i="11" s="1"/>
  <c r="A37" i="11" s="1"/>
  <c r="A38" i="11" s="1"/>
  <c r="A39" i="11" s="1"/>
  <c r="A40" i="11" s="1"/>
  <c r="A41" i="11" s="1"/>
  <c r="A42" i="11" s="1"/>
  <c r="A43" i="11" s="1"/>
  <c r="A44" i="11" s="1"/>
  <c r="A45" i="11" s="1"/>
  <c r="A46" i="11" s="1"/>
  <c r="A47" i="11" s="1"/>
  <c r="A48" i="11" s="1"/>
  <c r="A49" i="11" s="1"/>
  <c r="A50" i="11" s="1"/>
  <c r="A51" i="11" s="1"/>
  <c r="A52" i="11" s="1"/>
  <c r="A53" i="11" s="1"/>
  <c r="A54" i="11" s="1"/>
  <c r="A55" i="11" s="1"/>
  <c r="R12" i="16" l="1"/>
  <c r="S12" i="16" s="1"/>
  <c r="R20" i="16"/>
  <c r="S20" i="16" s="1"/>
  <c r="R28" i="16"/>
  <c r="S28" i="16" s="1"/>
  <c r="R36" i="16"/>
  <c r="S36" i="16" s="1"/>
  <c r="R44" i="16"/>
  <c r="S44" i="16" s="1"/>
  <c r="R52" i="16"/>
  <c r="S52" i="16" s="1"/>
  <c r="R14" i="16"/>
  <c r="S14" i="16" s="1"/>
  <c r="R22" i="16"/>
  <c r="S22" i="16" s="1"/>
  <c r="R46" i="16"/>
  <c r="S46" i="16" s="1"/>
  <c r="R31" i="16"/>
  <c r="S31" i="16" s="1"/>
  <c r="R19" i="16"/>
  <c r="S19" i="16" s="1"/>
  <c r="R43" i="16"/>
  <c r="S43" i="16" s="1"/>
  <c r="R5" i="16"/>
  <c r="S5" i="16" s="1"/>
  <c r="R13" i="16"/>
  <c r="S13" i="16" s="1"/>
  <c r="R21" i="16"/>
  <c r="S21" i="16" s="1"/>
  <c r="R29" i="16"/>
  <c r="S29" i="16" s="1"/>
  <c r="R37" i="16"/>
  <c r="S37" i="16" s="1"/>
  <c r="R45" i="16"/>
  <c r="S45" i="16" s="1"/>
  <c r="R53" i="16"/>
  <c r="S53" i="16" s="1"/>
  <c r="R6" i="16"/>
  <c r="S6" i="16" s="1"/>
  <c r="R30" i="16"/>
  <c r="S30" i="16" s="1"/>
  <c r="R38" i="16"/>
  <c r="S38" i="16" s="1"/>
  <c r="R54" i="16"/>
  <c r="S54" i="16" s="1"/>
  <c r="R7" i="16"/>
  <c r="S7" i="16" s="1"/>
  <c r="R15" i="16"/>
  <c r="S15" i="16" s="1"/>
  <c r="R23" i="16"/>
  <c r="S23" i="16" s="1"/>
  <c r="R39" i="16"/>
  <c r="S39" i="16" s="1"/>
  <c r="R47" i="16"/>
  <c r="S47" i="16" s="1"/>
  <c r="R55" i="16"/>
  <c r="S55" i="16" s="1"/>
  <c r="R11" i="16"/>
  <c r="S11" i="16" s="1"/>
  <c r="R35" i="16"/>
  <c r="S35" i="16" s="1"/>
  <c r="R8" i="16"/>
  <c r="S8" i="16" s="1"/>
  <c r="R16" i="16"/>
  <c r="S16" i="16" s="1"/>
  <c r="R24" i="16"/>
  <c r="S24" i="16" s="1"/>
  <c r="R32" i="16"/>
  <c r="S32" i="16" s="1"/>
  <c r="R40" i="16"/>
  <c r="S40" i="16" s="1"/>
  <c r="R48" i="16"/>
  <c r="S48" i="16" s="1"/>
  <c r="R4" i="16"/>
  <c r="S4" i="16" s="1"/>
  <c r="R9" i="16"/>
  <c r="S9" i="16" s="1"/>
  <c r="R17" i="16"/>
  <c r="S17" i="16" s="1"/>
  <c r="R25" i="16"/>
  <c r="S25" i="16" s="1"/>
  <c r="R33" i="16"/>
  <c r="S33" i="16" s="1"/>
  <c r="R41" i="16"/>
  <c r="S41" i="16" s="1"/>
  <c r="R49" i="16"/>
  <c r="S49" i="16" s="1"/>
  <c r="R10" i="16"/>
  <c r="S10" i="16" s="1"/>
  <c r="R18" i="16"/>
  <c r="S18" i="16" s="1"/>
  <c r="R26" i="16"/>
  <c r="S26" i="16" s="1"/>
  <c r="R34" i="16"/>
  <c r="S34" i="16" s="1"/>
  <c r="R42" i="16"/>
  <c r="S42" i="16" s="1"/>
  <c r="R50" i="16"/>
  <c r="S50" i="16" s="1"/>
  <c r="R27" i="16"/>
  <c r="S27" i="16" s="1"/>
  <c r="R51" i="16"/>
  <c r="S51" i="16" s="1"/>
  <c r="R11" i="17"/>
  <c r="S11" i="17" s="1"/>
  <c r="R10" i="17"/>
  <c r="S10" i="17" s="1"/>
  <c r="R4" i="17"/>
  <c r="R8" i="17"/>
  <c r="S8" i="17" s="1"/>
  <c r="R15" i="17"/>
  <c r="S15" i="17" s="1"/>
  <c r="R7" i="17"/>
  <c r="S7" i="17" s="1"/>
  <c r="R14" i="17"/>
  <c r="S14" i="17" s="1"/>
  <c r="R6" i="17"/>
  <c r="S6" i="17" s="1"/>
  <c r="R13" i="17"/>
  <c r="S13" i="17" s="1"/>
  <c r="R5" i="17"/>
  <c r="S5" i="17" s="1"/>
  <c r="R9" i="17"/>
  <c r="S9" i="17" s="1"/>
  <c r="R12" i="17"/>
  <c r="S12" i="17" s="1"/>
  <c r="G20" i="6"/>
  <c r="G12" i="6"/>
  <c r="G13" i="6"/>
  <c r="G19" i="6"/>
  <c r="G11" i="6"/>
  <c r="G18" i="6"/>
  <c r="G10" i="6"/>
  <c r="G17" i="6"/>
  <c r="G9" i="6"/>
  <c r="G16" i="6"/>
  <c r="G8" i="6"/>
  <c r="G7" i="6"/>
  <c r="G15" i="6"/>
  <c r="G14" i="6"/>
  <c r="G6" i="6"/>
  <c r="C55" i="5"/>
  <c r="C52" i="5"/>
  <c r="C49" i="5"/>
  <c r="C46" i="5"/>
  <c r="C43" i="5"/>
  <c r="R56" i="16" l="1"/>
  <c r="S56" i="16"/>
  <c r="S4" i="17"/>
  <c r="S16" i="17" s="1"/>
  <c r="R16" i="17"/>
  <c r="E31" i="1"/>
  <c r="G5" i="11"/>
  <c r="G4" i="11"/>
  <c r="A58" i="11"/>
  <c r="D3" i="11"/>
  <c r="C3" i="11"/>
  <c r="A25" i="6"/>
  <c r="B11" i="8"/>
  <c r="D4" i="1" a="1"/>
  <c r="D4" i="1" s="1"/>
  <c r="D17" i="1" a="1"/>
  <c r="D17" i="1" s="1"/>
  <c r="D16" i="1" a="1"/>
  <c r="D16" i="1" s="1"/>
  <c r="D15" i="1" a="1"/>
  <c r="D15" i="1" s="1"/>
  <c r="D14" i="1" a="1"/>
  <c r="D14" i="1" s="1"/>
  <c r="D13" i="1" a="1"/>
  <c r="D13" i="1" s="1"/>
  <c r="D12" i="1" a="1"/>
  <c r="D12" i="1" s="1"/>
  <c r="D11" i="1" a="1"/>
  <c r="D11" i="1" s="1"/>
  <c r="D10" i="1" a="1"/>
  <c r="D10" i="1" s="1"/>
  <c r="D9" i="1" a="1"/>
  <c r="D9" i="1" s="1"/>
  <c r="D8" i="1" a="1"/>
  <c r="D8" i="1" s="1"/>
  <c r="D7" i="1" a="1"/>
  <c r="D7" i="1" s="1"/>
  <c r="D6" i="1" a="1"/>
  <c r="D6" i="1" s="1"/>
  <c r="C143" i="5" l="1"/>
  <c r="C9" i="15" l="1"/>
  <c r="B9" i="15" l="1"/>
  <c r="B12" i="15"/>
  <c r="C12" i="15" s="1"/>
  <c r="B11" i="15"/>
  <c r="C11" i="15" s="1"/>
  <c r="B10" i="15"/>
  <c r="C10" i="15" s="1"/>
  <c r="B16" i="15"/>
  <c r="B14" i="15"/>
  <c r="B17" i="15"/>
  <c r="B15" i="15"/>
  <c r="C15" i="15" s="1"/>
  <c r="C141" i="5" s="1"/>
  <c r="B13" i="15"/>
  <c r="C13" i="15" s="1"/>
  <c r="C140" i="5" s="1"/>
  <c r="H25" i="6"/>
  <c r="H23" i="6"/>
  <c r="K11" i="11"/>
  <c r="D3" i="13"/>
  <c r="G19" i="13"/>
  <c r="K10" i="11"/>
  <c r="G10" i="11"/>
  <c r="G18" i="13"/>
  <c r="A18" i="13"/>
  <c r="A1" i="6"/>
  <c r="B3" i="1"/>
  <c r="E3" i="1"/>
  <c r="A20" i="6"/>
  <c r="A19" i="6"/>
  <c r="A18" i="6"/>
  <c r="A17" i="6"/>
  <c r="A16" i="6"/>
  <c r="A15" i="6"/>
  <c r="A14" i="6"/>
  <c r="A13" i="6"/>
  <c r="A12" i="6"/>
  <c r="A11" i="6"/>
  <c r="A10" i="6"/>
  <c r="A9" i="6"/>
  <c r="A8" i="6"/>
  <c r="A7" i="6"/>
  <c r="A6" i="6"/>
  <c r="C66" i="5"/>
  <c r="C138" i="5"/>
  <c r="C133" i="5"/>
  <c r="C128" i="5"/>
  <c r="C123" i="5"/>
  <c r="C118" i="5"/>
  <c r="C113" i="5"/>
  <c r="C108" i="5"/>
  <c r="C103" i="5"/>
  <c r="C98" i="5"/>
  <c r="C93" i="5"/>
  <c r="C88" i="5"/>
  <c r="C83" i="5"/>
  <c r="C78" i="5"/>
  <c r="C73" i="5"/>
  <c r="C68" i="5"/>
  <c r="C137" i="5"/>
  <c r="C132" i="5"/>
  <c r="C127" i="5"/>
  <c r="C122" i="5"/>
  <c r="C117" i="5"/>
  <c r="C112" i="5"/>
  <c r="C107" i="5"/>
  <c r="C102" i="5"/>
  <c r="C97" i="5"/>
  <c r="C92" i="5"/>
  <c r="C87" i="5"/>
  <c r="C82" i="5"/>
  <c r="C76" i="5"/>
  <c r="C72" i="5"/>
  <c r="C67" i="5"/>
  <c r="C136" i="5"/>
  <c r="C131" i="5"/>
  <c r="C126" i="5"/>
  <c r="C121" i="5"/>
  <c r="C116" i="5"/>
  <c r="C111" i="5"/>
  <c r="C106" i="5"/>
  <c r="C101" i="5"/>
  <c r="C96" i="5"/>
  <c r="C91" i="5"/>
  <c r="C86" i="5"/>
  <c r="C81" i="5"/>
  <c r="C77" i="5"/>
  <c r="C71" i="5"/>
  <c r="A4" i="6"/>
  <c r="A5" i="6"/>
  <c r="C135" i="5"/>
  <c r="C130" i="5"/>
  <c r="C125" i="5"/>
  <c r="C120" i="5"/>
  <c r="C115" i="5"/>
  <c r="C110" i="5"/>
  <c r="C105" i="5"/>
  <c r="C100" i="5"/>
  <c r="C95" i="5"/>
  <c r="C90" i="5"/>
  <c r="C85" i="5"/>
  <c r="C80" i="5"/>
  <c r="C75" i="5"/>
  <c r="C70" i="5"/>
  <c r="C65" i="5"/>
  <c r="C63" i="5"/>
  <c r="C62" i="5"/>
  <c r="C61" i="5"/>
  <c r="C60" i="5"/>
  <c r="C59" i="5"/>
  <c r="C58" i="5"/>
  <c r="C56" i="5"/>
  <c r="C53" i="5"/>
  <c r="C50" i="5"/>
  <c r="C47" i="5"/>
  <c r="C44" i="5"/>
  <c r="C8" i="5"/>
  <c r="C7" i="5"/>
  <c r="C5" i="5"/>
  <c r="C4" i="5"/>
  <c r="C3" i="5"/>
  <c r="C14" i="15" l="1"/>
  <c r="C17" i="15"/>
  <c r="C142" i="5" s="1"/>
  <c r="C16" i="15"/>
  <c r="C2" i="5"/>
  <c r="E25" i="1"/>
  <c r="C48" i="5" s="1"/>
  <c r="C3" i="13"/>
  <c r="I5" i="11"/>
  <c r="I4" i="11"/>
  <c r="I4" i="13"/>
  <c r="I5" i="13"/>
  <c r="G4" i="13"/>
  <c r="G5" i="13"/>
  <c r="H7" i="13"/>
  <c r="H5" i="13" s="1"/>
  <c r="A1" i="13"/>
  <c r="C79" i="5"/>
  <c r="C84" i="5"/>
  <c r="C89" i="5"/>
  <c r="C94" i="5"/>
  <c r="C99" i="5"/>
  <c r="C104" i="5"/>
  <c r="C109" i="5"/>
  <c r="C114" i="5"/>
  <c r="C119" i="5"/>
  <c r="C124" i="5"/>
  <c r="C129" i="5"/>
  <c r="C134" i="5"/>
  <c r="C139" i="5"/>
  <c r="C74" i="5"/>
  <c r="C69" i="5"/>
  <c r="A3" i="6"/>
  <c r="E16" i="1"/>
  <c r="C23" i="5" s="1"/>
  <c r="E15" i="1"/>
  <c r="C22" i="5" s="1"/>
  <c r="E14" i="1"/>
  <c r="C21" i="5" s="1"/>
  <c r="E12" i="1"/>
  <c r="C19" i="5" s="1"/>
  <c r="E8" i="1"/>
  <c r="C15" i="5" s="1"/>
  <c r="C64" i="5"/>
  <c r="A23" i="6"/>
  <c r="G3" i="6"/>
  <c r="E18" i="1"/>
  <c r="C27" i="5" s="1"/>
  <c r="E19" i="1"/>
  <c r="C30" i="5" s="1"/>
  <c r="E20" i="1"/>
  <c r="C33" i="5" s="1"/>
  <c r="E21" i="1"/>
  <c r="C36" i="5" s="1"/>
  <c r="E22" i="1"/>
  <c r="C39" i="5" s="1"/>
  <c r="E23" i="1"/>
  <c r="C42" i="5" s="1"/>
  <c r="E24" i="1"/>
  <c r="C45" i="5" s="1"/>
  <c r="E26" i="1"/>
  <c r="C51" i="5" s="1"/>
  <c r="E27" i="1"/>
  <c r="C54" i="5" s="1"/>
  <c r="E28" i="1"/>
  <c r="C57" i="5" s="1"/>
  <c r="E17" i="1"/>
  <c r="C24" i="5" s="1"/>
  <c r="E13" i="1"/>
  <c r="C20" i="5" s="1"/>
  <c r="E11" i="1"/>
  <c r="C18" i="5" s="1"/>
  <c r="E10" i="1"/>
  <c r="C17" i="5" s="1"/>
  <c r="E9" i="1"/>
  <c r="C16" i="5" s="1"/>
  <c r="E7" i="1"/>
  <c r="C14" i="5" s="1"/>
  <c r="F3" i="6"/>
  <c r="D3" i="1"/>
  <c r="A1" i="1"/>
  <c r="H7" i="11"/>
  <c r="H4" i="11" s="1"/>
  <c r="B56" i="11"/>
  <c r="B16" i="13"/>
  <c r="C16" i="13"/>
  <c r="C56" i="11"/>
  <c r="A10" i="8"/>
  <c r="F11" i="1" l="1"/>
  <c r="F23" i="1"/>
  <c r="F22" i="1"/>
  <c r="F20" i="1"/>
  <c r="F24" i="1"/>
  <c r="F19" i="1"/>
  <c r="F21" i="1"/>
  <c r="F28" i="1"/>
  <c r="F27" i="1"/>
  <c r="F18" i="1"/>
  <c r="F26" i="1"/>
  <c r="F25" i="1"/>
  <c r="H5" i="11"/>
  <c r="D4" i="11" s="1"/>
  <c r="H6" i="11"/>
  <c r="F15" i="1"/>
  <c r="F7" i="1"/>
  <c r="F17" i="1"/>
  <c r="F10" i="1"/>
  <c r="F13" i="1"/>
  <c r="F8" i="1"/>
  <c r="F16" i="1"/>
  <c r="F14" i="1"/>
  <c r="F12" i="1"/>
  <c r="F9" i="1"/>
  <c r="E6" i="1"/>
  <c r="C13" i="5" s="1"/>
  <c r="H6" i="13"/>
  <c r="H4" i="13"/>
  <c r="G21" i="6"/>
  <c r="D27" i="11" l="1"/>
  <c r="E27" i="11" s="1"/>
  <c r="E4" i="11"/>
  <c r="D43" i="11"/>
  <c r="E43" i="11" s="1"/>
  <c r="D36" i="11"/>
  <c r="E36" i="11" s="1"/>
  <c r="D45" i="11"/>
  <c r="E45" i="11" s="1"/>
  <c r="D54" i="11"/>
  <c r="E54" i="11" s="1"/>
  <c r="D31" i="11"/>
  <c r="E31" i="11" s="1"/>
  <c r="D33" i="11"/>
  <c r="E33" i="11" s="1"/>
  <c r="D51" i="11"/>
  <c r="E51" i="11" s="1"/>
  <c r="D44" i="11"/>
  <c r="E44" i="11" s="1"/>
  <c r="D53" i="11"/>
  <c r="E53" i="11" s="1"/>
  <c r="D10" i="11"/>
  <c r="E10" i="11" s="1"/>
  <c r="D39" i="11"/>
  <c r="E39" i="11" s="1"/>
  <c r="D41" i="11"/>
  <c r="E41" i="11" s="1"/>
  <c r="D25" i="11"/>
  <c r="E25" i="11" s="1"/>
  <c r="D52" i="11"/>
  <c r="E52" i="11" s="1"/>
  <c r="D6" i="11"/>
  <c r="E6" i="11" s="1"/>
  <c r="D26" i="11"/>
  <c r="E26" i="11" s="1"/>
  <c r="D47" i="11"/>
  <c r="E47" i="11" s="1"/>
  <c r="D49" i="11"/>
  <c r="E49" i="11" s="1"/>
  <c r="D18" i="11"/>
  <c r="E18" i="11" s="1"/>
  <c r="D5" i="11"/>
  <c r="E5" i="11" s="1"/>
  <c r="D14" i="11"/>
  <c r="E14" i="11" s="1"/>
  <c r="D42" i="11"/>
  <c r="E42" i="11" s="1"/>
  <c r="D55" i="11"/>
  <c r="E55" i="11" s="1"/>
  <c r="D8" i="11"/>
  <c r="E8" i="11" s="1"/>
  <c r="D11" i="11"/>
  <c r="E11" i="11" s="1"/>
  <c r="D34" i="11"/>
  <c r="E34" i="11" s="1"/>
  <c r="D13" i="11"/>
  <c r="E13" i="11" s="1"/>
  <c r="D22" i="11"/>
  <c r="E22" i="11" s="1"/>
  <c r="D50" i="11"/>
  <c r="E50" i="11" s="1"/>
  <c r="D24" i="11"/>
  <c r="E24" i="11" s="1"/>
  <c r="D16" i="11"/>
  <c r="E16" i="11" s="1"/>
  <c r="D19" i="11"/>
  <c r="E19" i="11" s="1"/>
  <c r="D12" i="11"/>
  <c r="E12" i="11" s="1"/>
  <c r="D21" i="11"/>
  <c r="E21" i="11" s="1"/>
  <c r="D30" i="11"/>
  <c r="E30" i="11" s="1"/>
  <c r="D7" i="11"/>
  <c r="E7" i="11" s="1"/>
  <c r="D40" i="11"/>
  <c r="E40" i="11" s="1"/>
  <c r="D32" i="11"/>
  <c r="E32" i="11" s="1"/>
  <c r="D20" i="11"/>
  <c r="E20" i="11" s="1"/>
  <c r="D29" i="11"/>
  <c r="E29" i="11" s="1"/>
  <c r="D38" i="11"/>
  <c r="E38" i="11" s="1"/>
  <c r="D15" i="11"/>
  <c r="E15" i="11" s="1"/>
  <c r="D9" i="11"/>
  <c r="E9" i="11" s="1"/>
  <c r="D48" i="11"/>
  <c r="E48" i="11" s="1"/>
  <c r="D35" i="11"/>
  <c r="E35" i="11" s="1"/>
  <c r="D28" i="11"/>
  <c r="E28" i="11" s="1"/>
  <c r="D37" i="11"/>
  <c r="E37" i="11" s="1"/>
  <c r="D46" i="11"/>
  <c r="E46" i="11" s="1"/>
  <c r="D23" i="11"/>
  <c r="E23" i="11" s="1"/>
  <c r="D17" i="11"/>
  <c r="E17" i="11" s="1"/>
  <c r="F6" i="1"/>
  <c r="D12" i="13"/>
  <c r="E12" i="13" s="1"/>
  <c r="D5" i="13"/>
  <c r="E5" i="13" s="1"/>
  <c r="D13" i="13"/>
  <c r="E13" i="13" s="1"/>
  <c r="D6" i="13"/>
  <c r="E6" i="13" s="1"/>
  <c r="D14" i="13"/>
  <c r="E14" i="13" s="1"/>
  <c r="D7" i="13"/>
  <c r="E7" i="13" s="1"/>
  <c r="D15" i="13"/>
  <c r="E15" i="13" s="1"/>
  <c r="D11" i="13"/>
  <c r="E11" i="13" s="1"/>
  <c r="D8" i="13"/>
  <c r="E8" i="13" s="1"/>
  <c r="D4" i="13"/>
  <c r="E4" i="13" s="1"/>
  <c r="D9" i="13"/>
  <c r="E9" i="13" s="1"/>
  <c r="D10" i="13"/>
  <c r="E10" i="13" s="1"/>
  <c r="D56" i="11" l="1"/>
  <c r="E56" i="11"/>
  <c r="E16" i="13"/>
  <c r="D16" i="13"/>
  <c r="E5" i="1" l="1"/>
  <c r="F5" i="1" s="1"/>
  <c r="B29" i="1"/>
  <c r="E4" i="1"/>
  <c r="D31" i="1" l="1"/>
  <c r="C10" i="5" s="1"/>
  <c r="C12" i="5"/>
  <c r="E29" i="1"/>
  <c r="F4" i="1"/>
  <c r="F29" i="1" s="1"/>
  <c r="C11" i="5"/>
  <c r="C59" i="11" l="1"/>
  <c r="C9" i="5"/>
  <c r="G25" i="6"/>
  <c r="G23" i="6"/>
  <c r="G27" i="6" s="1"/>
  <c r="Q19" i="17"/>
  <c r="Q59"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Ray Cottam</author>
  </authors>
  <commentList>
    <comment ref="F3" authorId="0" shapeId="0" xr:uid="{D090BF36-CE96-4A1D-8457-4C4207662604}">
      <text>
        <r>
          <rPr>
            <b/>
            <sz val="9"/>
            <color indexed="81"/>
            <rFont val="Tahoma"/>
            <family val="2"/>
          </rPr>
          <t>Note:</t>
        </r>
        <r>
          <rPr>
            <sz val="9"/>
            <color indexed="81"/>
            <rFont val="Tahoma"/>
            <family val="2"/>
          </rPr>
          <t xml:space="preserve">
The base year emissions for each fuel type are calculated for sense checking.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Ray Cottam</author>
  </authors>
  <commentList>
    <comment ref="G25" authorId="0" shapeId="0" xr:uid="{73475949-34E4-4881-A324-B9F7D7791EEE}">
      <text>
        <r>
          <rPr>
            <b/>
            <sz val="9"/>
            <color indexed="81"/>
            <rFont val="Tahoma"/>
            <family val="2"/>
          </rPr>
          <t>Information:</t>
        </r>
        <r>
          <rPr>
            <sz val="9"/>
            <color indexed="81"/>
            <rFont val="Tahoma"/>
            <family val="2"/>
          </rPr>
          <t xml:space="preserve">
This purpose of this cell is to ensure that the total amount of PRIMARY energy or carbon associated with this facility have been attributed to:
- FIXED
and/or
- VARIABLE components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Bramwell, Rebekah</author>
    <author>Rebekah Watson</author>
  </authors>
  <commentList>
    <comment ref="C27" authorId="0" shapeId="0" xr:uid="{436CA2F6-265D-4CC1-BF2A-89B3BA4108EA}">
      <text>
        <r>
          <rPr>
            <b/>
            <sz val="8"/>
            <rFont val="Tahoma"/>
            <family val="2"/>
          </rPr>
          <t>Compressed natural gas - a compressed version of the same natural gas used in homes. Stored in cylinders for use as an alternative transport fuel.</t>
        </r>
      </text>
    </comment>
    <comment ref="C31" authorId="0" shapeId="0" xr:uid="{D6CD2C1C-8A74-424F-94A4-DFBA7ED48C51}">
      <text>
        <r>
          <rPr>
            <b/>
            <sz val="8"/>
            <rFont val="Tahoma"/>
            <family val="2"/>
          </rPr>
          <t xml:space="preserve">Liquefied natural gas- in a liquid state, this is the easiest way to transport gas in tankers (truck or ship). It can be used as an alternative transport fuel.
</t>
        </r>
      </text>
    </comment>
    <comment ref="C35" authorId="0" shapeId="0" xr:uid="{520BA2B4-0D5F-4E48-9865-3464C552DA0D}">
      <text>
        <r>
          <rPr>
            <b/>
            <sz val="8"/>
            <rFont val="Tahoma"/>
            <family val="2"/>
          </rPr>
          <t>Liquid petroleum gas - used to power cooking stoves or heaters off-grid and fuel some vehicles (such as fork-lift trucks and vans).</t>
        </r>
      </text>
    </comment>
    <comment ref="C39" authorId="0" shapeId="0" xr:uid="{03C9413C-4688-438C-8056-2439EAE910FD}">
      <text>
        <r>
          <rPr>
            <b/>
            <sz val="8"/>
            <rFont val="Tahoma"/>
            <family val="2"/>
          </rPr>
          <t>Standard natural gas received through the gas mains grid network in the UK. Note - contains limited biogas content.</t>
        </r>
      </text>
    </comment>
    <comment ref="C43" authorId="1" shapeId="0" xr:uid="{C07F1EF9-805E-48F7-8087-5005C36A4719}">
      <text>
        <r>
          <rPr>
            <b/>
            <sz val="9"/>
            <color indexed="81"/>
            <rFont val="Tahoma"/>
            <family val="2"/>
          </rPr>
          <t>Natural gas (100% mineral blend) factor is natural gas not obtained through the grid and therefore does not contain any biogas content. It can be used for calculating bespoke fuel mixtures.</t>
        </r>
      </text>
    </comment>
    <comment ref="C47" authorId="0" shapeId="0" xr:uid="{8F5C0BA6-3B4F-4E59-8C5E-A95B225624A8}">
      <text>
        <r>
          <rPr>
            <b/>
            <sz val="8"/>
            <rFont val="Tahoma"/>
            <family val="2"/>
          </rPr>
          <t>Consists mainly of ethane, plus other hydrocarbons, (excludes butane and propane).</t>
        </r>
      </text>
    </comment>
    <comment ref="C59" authorId="0" shapeId="0" xr:uid="{168EF76E-1F66-455F-8232-D5871D738B20}">
      <text>
        <r>
          <rPr>
            <b/>
            <sz val="8"/>
            <rFont val="Tahoma"/>
            <family val="2"/>
          </rPr>
          <t>Fuel for piston-engined aircraft - a high octane petrol (aka AVGAS).</t>
        </r>
      </text>
    </comment>
    <comment ref="C63" authorId="0" shapeId="0" xr:uid="{3872B927-C92B-4FAD-9F68-EDD60E6EA02F}">
      <text>
        <r>
          <rPr>
            <b/>
            <sz val="8"/>
            <rFont val="Tahoma"/>
            <family val="2"/>
          </rPr>
          <t>Fuel for turbo-prop aircraft and jets (aka jet fuel). Similar to kerosene used as a heating fuel, but refined to a higher quality.</t>
        </r>
      </text>
    </comment>
    <comment ref="C67" authorId="0" shapeId="0" xr:uid="{07649DB8-8024-4406-8EC4-8CB3F5039C13}">
      <text>
        <r>
          <rPr>
            <b/>
            <sz val="8"/>
            <rFont val="Tahoma"/>
            <family val="2"/>
          </rPr>
          <t>Main purpose is for heating/lighting on a domestic scale (also known as kerosene).</t>
        </r>
      </text>
    </comment>
    <comment ref="C71" authorId="0" shapeId="0" xr:uid="{96F25081-3F79-450E-8769-D0068C6BF53D}">
      <text>
        <r>
          <rPr>
            <b/>
            <sz val="8"/>
            <rFont val="Tahoma"/>
            <family val="2"/>
          </rPr>
          <t>Standard diesel bought from any local filling station (across the board forecourt fuel typically contains biofuel content).</t>
        </r>
      </text>
    </comment>
    <comment ref="C75" authorId="0" shapeId="0" xr:uid="{1AFD6740-3F05-4C25-8E96-3D03320AA3F8}">
      <text>
        <r>
          <rPr>
            <b/>
            <sz val="8"/>
            <rFont val="Tahoma"/>
            <family val="2"/>
          </rPr>
          <t>Diesel that has not been blended with biofuel (non-forecourt diesel).</t>
        </r>
      </text>
    </comment>
    <comment ref="C79" authorId="0" shapeId="0" xr:uid="{0560EAF3-3033-401F-8FC3-5DD2CB2FA990}">
      <text>
        <r>
          <rPr>
            <b/>
            <sz val="8"/>
            <rFont val="Tahoma"/>
            <family val="2"/>
          </rPr>
          <t>Heavy oil used as fuel in furnaces and boilers of power stations, in industry, for industrial heating and in ships.</t>
        </r>
      </text>
    </comment>
    <comment ref="C83" authorId="0" shapeId="0" xr:uid="{1BE99E83-E140-4EE0-9B25-EE1681FC1815}">
      <text>
        <r>
          <rPr>
            <b/>
            <sz val="8"/>
            <rFont val="Tahoma"/>
            <family val="2"/>
          </rPr>
          <t>Medium oil used in diesel engines and heating systems (also known as red diesel).</t>
        </r>
      </text>
    </comment>
    <comment ref="C87" authorId="2" shapeId="0" xr:uid="{E58F9B76-33BD-48FD-BED8-4A8422D7E33D}">
      <text>
        <r>
          <rPr>
            <b/>
            <sz val="8"/>
            <color indexed="81"/>
            <rFont val="Tahoma"/>
            <family val="2"/>
          </rPr>
          <t>Waste petroleum-based lubricating oils recovered for use as fuels</t>
        </r>
      </text>
    </comment>
    <comment ref="C91" authorId="0" shapeId="0" xr:uid="{175E99B7-4E2D-4B39-9B0E-54EDD6EAF2FC}">
      <text>
        <r>
          <rPr>
            <b/>
            <sz val="8"/>
            <rFont val="Tahoma"/>
            <family val="2"/>
          </rPr>
          <t>A product of crude oil refining - often used as a solvent.</t>
        </r>
      </text>
    </comment>
    <comment ref="C95" authorId="0" shapeId="0" xr:uid="{DD0B34BD-629E-4E32-8FC3-B4F1E6647370}">
      <text>
        <r>
          <rPr>
            <b/>
            <sz val="8"/>
            <rFont val="Tahoma"/>
            <family val="2"/>
          </rPr>
          <t>Standard petrol bought from any local filling station (across the board forecourt fuel typically contains biofuel content).</t>
        </r>
      </text>
    </comment>
    <comment ref="C99" authorId="0" shapeId="0" xr:uid="{E857970B-2FBB-459C-A1BB-D186C7478F3C}">
      <text>
        <r>
          <rPr>
            <b/>
            <sz val="8"/>
            <rFont val="Tahoma"/>
            <family val="2"/>
          </rPr>
          <t>Petrol that has not been blended with biofuel (non forecourt petrol).</t>
        </r>
      </text>
    </comment>
    <comment ref="C103" authorId="0" shapeId="0" xr:uid="{9E213259-8A68-4AAA-96A2-709739074F05}">
      <text>
        <r>
          <rPr>
            <b/>
            <sz val="8"/>
            <rFont val="Tahoma"/>
            <family val="2"/>
          </rPr>
          <t>Waste oils meeting the 'residual' oil definition contained in the 'Processed Fuel Oil Quality Protocol'.</t>
        </r>
      </text>
    </comment>
    <comment ref="C107" authorId="0" shapeId="0" xr:uid="{EE3D18F8-7DCB-4965-A60B-5A0C1B4D95AB}">
      <text>
        <r>
          <rPr>
            <b/>
            <sz val="8"/>
            <rFont val="Tahoma"/>
            <family val="2"/>
          </rPr>
          <t>Waste oils meeting the 'distillate' oil definition contained in the 'Processed Fuel Oil Quality Protocol'.</t>
        </r>
      </text>
    </comment>
    <comment ref="C111" authorId="2" shapeId="0" xr:uid="{0644B02B-9F9D-483E-A349-15AC452F19C6}">
      <text>
        <r>
          <rPr>
            <b/>
            <sz val="8"/>
            <color indexed="81"/>
            <rFont val="Tahoma"/>
            <family val="2"/>
          </rPr>
          <t>Includes aromatic extracts, defoament solvents and other minor miscellaneous products</t>
        </r>
        <r>
          <rPr>
            <sz val="9"/>
            <color indexed="81"/>
            <rFont val="Tahoma"/>
            <family val="2"/>
          </rPr>
          <t xml:space="preserve">
</t>
        </r>
      </text>
    </comment>
    <comment ref="C115" authorId="0" shapeId="0" xr:uid="{2998B07D-18BC-4E83-B887-89D0AB7BE06E}">
      <text>
        <r>
          <rPr>
            <b/>
            <sz val="8"/>
            <rFont val="Tahoma"/>
            <family val="2"/>
          </rPr>
          <t>Recycled oils outside of the 'Processed Fuel Oil Quality Protocol' definitions.</t>
        </r>
      </text>
    </comment>
    <comment ref="C119" authorId="0" shapeId="0" xr:uid="{1CC4A857-5CF3-417D-AAF7-3CC6BC7A2433}">
      <text>
        <r>
          <rPr>
            <b/>
            <sz val="8"/>
            <rFont val="Tahoma"/>
            <family val="2"/>
          </rPr>
          <t>Distillate fuels are commonly called "Marine gas oil". Distillate fuel is composed of petroleum fractions of crude oil that are separated in a refinery by a boiling or "distillation" process.</t>
        </r>
      </text>
    </comment>
    <comment ref="C123" authorId="0" shapeId="0" xr:uid="{CA28D073-47C9-44C0-826A-B767BE9BBAE3}">
      <text>
        <r>
          <rPr>
            <b/>
            <sz val="8"/>
            <rFont val="Tahoma"/>
            <family val="2"/>
          </rPr>
          <t>Residual fuels are called "Marine fuel oil". Residual fuel or "residuum" is the fraction that did not boil, sometimes referred to as "tar" or "petroleum pitch".</t>
        </r>
      </text>
    </comment>
    <comment ref="C131" authorId="0" shapeId="0" xr:uid="{498E461D-B57E-45AB-935F-7B4588A071EE}">
      <text>
        <r>
          <rPr>
            <b/>
            <sz val="8"/>
            <rFont val="Tahoma"/>
            <family val="2"/>
          </rPr>
          <t>Coal used in sources other than power stations and domestic use.</t>
        </r>
      </text>
    </comment>
    <comment ref="C134" authorId="0" shapeId="0" xr:uid="{27D27413-3AA6-4F1C-BF1C-9F61710F16DA}">
      <text>
        <r>
          <rPr>
            <b/>
            <sz val="8"/>
            <rFont val="Tahoma"/>
            <family val="2"/>
          </rPr>
          <t>Coal used in power stations to generate electricity.</t>
        </r>
      </text>
    </comment>
    <comment ref="C137" authorId="0" shapeId="0" xr:uid="{0F19BA34-BC6A-4335-9D44-B5DB3177BAEB}">
      <text>
        <r>
          <rPr>
            <b/>
            <sz val="8"/>
            <rFont val="Tahoma"/>
            <family val="2"/>
          </rPr>
          <t>Coal used domestically.</t>
        </r>
      </text>
    </comment>
    <comment ref="C140" authorId="0" shapeId="0" xr:uid="{CF161432-A089-4A2F-9BE5-FD9416D9150F}">
      <text>
        <r>
          <rPr>
            <b/>
            <sz val="8"/>
            <rFont val="Tahoma"/>
            <family val="2"/>
          </rPr>
          <t>Coke may be used as a heating fuel and as a reducing agent in a blast furnace.</t>
        </r>
      </text>
    </comment>
    <comment ref="C143" authorId="0" shapeId="0" xr:uid="{902B841B-3114-4540-88AD-3F875B3B6FD0}">
      <text>
        <r>
          <rPr>
            <b/>
            <sz val="8"/>
            <rFont val="Tahoma"/>
            <family val="2"/>
          </rPr>
          <t>Normally used in cement manufacture and power plants.</t>
        </r>
      </text>
    </comment>
    <comment ref="C146" authorId="0" shapeId="0" xr:uid="{51FFA765-0505-40BC-BDF5-3AF5A818A4EB}">
      <text>
        <r>
          <rPr>
            <b/>
            <sz val="8"/>
            <rFont val="Tahoma"/>
            <family val="2"/>
          </rPr>
          <t>Coal used in power stations to generate electricity (only for coal produced in the UK).</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Karagianni, Eirini</author>
    <author>Jones, Luke</author>
  </authors>
  <commentList>
    <comment ref="C30" authorId="0" shapeId="0" xr:uid="{2ED51240-5294-4002-B905-8652E814558C}">
      <text>
        <r>
          <rPr>
            <b/>
            <sz val="9"/>
            <color indexed="81"/>
            <rFont val="Tahoma"/>
            <family val="2"/>
          </rPr>
          <t>Standard natural gas received through the gas mains grid network in the UK. Note - contains limited biogas content.</t>
        </r>
      </text>
    </comment>
    <comment ref="C31" authorId="1" shapeId="0" xr:uid="{4CE61F13-A12A-420D-A2F0-4C540D42F7C8}">
      <text>
        <r>
          <rPr>
            <sz val="9"/>
            <color indexed="81"/>
            <rFont val="Tahoma"/>
            <family val="2"/>
          </rPr>
          <t>Standard natural gas received through the gas mains grid network in the UK. Note - contains limited biogas content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B24" authorId="0" shapeId="0" xr:uid="{CD73F336-1A46-4807-9BE8-CFAA124DD07A}">
      <text>
        <r>
          <rPr>
            <b/>
            <sz val="8"/>
            <rFont val="Tahoma"/>
            <family val="2"/>
          </rPr>
          <t>Emissions associated with the generation of electricity at a power station.  Electricity generation factors do not include transmission and distribution.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B21" authorId="0" shapeId="0" xr:uid="{81637F36-0EBE-44F2-9C58-0851EF37DA3E}">
      <text>
        <r>
          <rPr>
            <b/>
            <sz val="8"/>
            <rFont val="Tahoma"/>
            <family val="2"/>
          </rPr>
          <t>Emissions impact of the efficiency losses experienced in getting electricity from the power plant to the end user.</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<sst xmlns="http://schemas.openxmlformats.org/spreadsheetml/2006/main" count="812" uniqueCount="385">
  <si>
    <t>Complete the fields below about the facility you are applying to add to a Climate Change Agreement</t>
  </si>
  <si>
    <t>Facility identifier</t>
  </si>
  <si>
    <t>Facility name</t>
  </si>
  <si>
    <t xml:space="preserve">Facility address
</t>
  </si>
  <si>
    <t>Base year start date</t>
  </si>
  <si>
    <t>Will this facility be joining an agreement with an ENERGY or CARBON based improvement target?</t>
  </si>
  <si>
    <t>Select the reporting units for the agreement</t>
  </si>
  <si>
    <t>Are any activities at this facility consuming fuels whose emissions are reported in the UK Emissions Trading Scheme?</t>
  </si>
  <si>
    <t>Progress:</t>
  </si>
  <si>
    <t>Energy type</t>
  </si>
  <si>
    <t>Primary energy conversion factor</t>
  </si>
  <si>
    <t>Base year emissions tCO2e</t>
  </si>
  <si>
    <t>Grid electricity and electricity from combustion of a renewable fuel</t>
  </si>
  <si>
    <t>Non-grid electricity from renewable sources (PV, hydro and wind)</t>
  </si>
  <si>
    <t>Natural Gas</t>
  </si>
  <si>
    <t>Fuel Oil</t>
  </si>
  <si>
    <r>
      <rPr>
        <b/>
        <sz val="12"/>
        <color theme="1"/>
        <rFont val="Arial"/>
        <family val="2"/>
      </rPr>
      <t>Coal</t>
    </r>
    <r>
      <rPr>
        <sz val="12"/>
        <color theme="1"/>
        <rFont val="Arial"/>
        <family val="2"/>
      </rPr>
      <t xml:space="preserve"> (referred to as Coal (Industrial) in GHG Company Reporting)</t>
    </r>
  </si>
  <si>
    <t>Coke</t>
  </si>
  <si>
    <t>LPG</t>
  </si>
  <si>
    <t>Ethane</t>
  </si>
  <si>
    <r>
      <rPr>
        <b/>
        <sz val="12"/>
        <color theme="1"/>
        <rFont val="Arial"/>
        <family val="2"/>
      </rPr>
      <t>Kerosene</t>
    </r>
    <r>
      <rPr>
        <sz val="12"/>
        <color theme="1"/>
        <rFont val="Arial"/>
        <family val="2"/>
      </rPr>
      <t xml:space="preserve"> (referred to as Burning Oil in GHG Company Reporting)</t>
    </r>
  </si>
  <si>
    <r>
      <rPr>
        <b/>
        <sz val="12"/>
        <color theme="1"/>
        <rFont val="Arial"/>
        <family val="2"/>
      </rPr>
      <t>Petrol</t>
    </r>
    <r>
      <rPr>
        <sz val="12"/>
        <color theme="1"/>
        <rFont val="Arial"/>
        <family val="2"/>
      </rPr>
      <t xml:space="preserve">  (referred to as Petrol (average biofuel blend) in GHG Company Reporting)</t>
    </r>
  </si>
  <si>
    <r>
      <rPr>
        <b/>
        <sz val="12"/>
        <color theme="1"/>
        <rFont val="Arial"/>
        <family val="2"/>
      </rPr>
      <t>Gasoil/Diesel</t>
    </r>
    <r>
      <rPr>
        <sz val="12"/>
        <color theme="1"/>
        <rFont val="Arial"/>
        <family val="2"/>
      </rPr>
      <t xml:space="preserve"> (referred to as Gas Oil in GHG Company Reporting)</t>
    </r>
  </si>
  <si>
    <t>Naphtha</t>
  </si>
  <si>
    <t>Petroleum coke</t>
  </si>
  <si>
    <r>
      <rPr>
        <b/>
        <sz val="12"/>
        <color theme="1"/>
        <rFont val="Arial"/>
        <family val="2"/>
      </rPr>
      <t>Refinery Gas</t>
    </r>
    <r>
      <rPr>
        <sz val="12"/>
        <color theme="1"/>
        <rFont val="Arial"/>
        <family val="2"/>
      </rPr>
      <t xml:space="preserve"> (referred to as Other Petroleum Gas in GHG Company Reporting)</t>
    </r>
  </si>
  <si>
    <t>Other Fuel 01</t>
  </si>
  <si>
    <t>Other Fuel 02</t>
  </si>
  <si>
    <t>Other Fuel 03</t>
  </si>
  <si>
    <t>Other Fuel 04</t>
  </si>
  <si>
    <t>Other Fuel 05</t>
  </si>
  <si>
    <t>Other Fuel 06</t>
  </si>
  <si>
    <t>Other Fuel 07</t>
  </si>
  <si>
    <t>Other Fuel 08</t>
  </si>
  <si>
    <t>Other Fuel 09</t>
  </si>
  <si>
    <t>Other Fuel 10</t>
  </si>
  <si>
    <t>Other Fuel 11</t>
  </si>
  <si>
    <t>Totals:</t>
  </si>
  <si>
    <t>Weighted average base year carbon emission factor:</t>
  </si>
  <si>
    <t>Product group name</t>
  </si>
  <si>
    <t>Product group base year</t>
  </si>
  <si>
    <t>Base year throughput</t>
  </si>
  <si>
    <t>Throughput unit</t>
  </si>
  <si>
    <r>
      <t xml:space="preserve">← </t>
    </r>
    <r>
      <rPr>
        <b/>
        <sz val="12"/>
        <color theme="0"/>
        <rFont val="Arial"/>
        <family val="2"/>
      </rPr>
      <t>If you have attributed all the facility's energy to FIXED, you must enter the base year throughput and throughput units</t>
    </r>
  </si>
  <si>
    <r>
      <t xml:space="preserve">← </t>
    </r>
    <r>
      <rPr>
        <b/>
        <sz val="12"/>
        <color theme="0"/>
        <rFont val="Arial"/>
        <family val="2"/>
      </rPr>
      <t>Do not</t>
    </r>
    <r>
      <rPr>
        <sz val="12"/>
        <color theme="0"/>
        <rFont val="Arial"/>
        <family val="2"/>
      </rPr>
      <t xml:space="preserve"> complete this row if you have entered data for one or more different product groups.</t>
    </r>
  </si>
  <si>
    <r>
      <rPr>
        <b/>
        <sz val="12"/>
        <color theme="0"/>
        <rFont val="Arial"/>
        <family val="2"/>
      </rPr>
      <t xml:space="preserve">← Do not </t>
    </r>
    <r>
      <rPr>
        <sz val="12"/>
        <color theme="0"/>
        <rFont val="Arial"/>
        <family val="2"/>
      </rPr>
      <t>complete any Product Group rows if you have entered data for the Site Total row.</t>
    </r>
  </si>
  <si>
    <t>Total</t>
  </si>
  <si>
    <t>Progress</t>
  </si>
  <si>
    <t>Enter the sector commitment values for the sector (or sub-sector where applicable) for each target period in the table</t>
  </si>
  <si>
    <t>Target period</t>
  </si>
  <si>
    <t>Sector commitment</t>
  </si>
  <si>
    <t>TP7</t>
  </si>
  <si>
    <t>TP8</t>
  </si>
  <si>
    <t>TP9</t>
  </si>
  <si>
    <t>Year</t>
  </si>
  <si>
    <t>Facility target</t>
  </si>
  <si>
    <t>Base year</t>
  </si>
  <si>
    <t>Tab name</t>
  </si>
  <si>
    <t>Field label</t>
  </si>
  <si>
    <t>Value</t>
  </si>
  <si>
    <t>Facility details</t>
  </si>
  <si>
    <t>Facility address</t>
  </si>
  <si>
    <t>UK ETS</t>
  </si>
  <si>
    <t>BY start date</t>
  </si>
  <si>
    <t>Target type</t>
  </si>
  <si>
    <t>Energy units</t>
  </si>
  <si>
    <t>Base year fuel types</t>
  </si>
  <si>
    <t>Name Other Fuel 01</t>
  </si>
  <si>
    <t>Conversion factor Other fuel 01</t>
  </si>
  <si>
    <t>PRIMARY amount Other Fuel 01</t>
  </si>
  <si>
    <t>Name Other Fuel 02</t>
  </si>
  <si>
    <t>Conversion factor Other fuel 02</t>
  </si>
  <si>
    <t>PRIMARY amount Other Fuel 02</t>
  </si>
  <si>
    <t>Name Other Fuel 03</t>
  </si>
  <si>
    <t>Conversion factor Other fuel 03</t>
  </si>
  <si>
    <t>PRIMARY amount Other Fuel 03</t>
  </si>
  <si>
    <t>Name Other Fuel 04</t>
  </si>
  <si>
    <t>Conversion factor Other fuel 04</t>
  </si>
  <si>
    <t>PRIMARY amount Other Fuel 04</t>
  </si>
  <si>
    <t>Name Other Fuel 05</t>
  </si>
  <si>
    <t>Conversion factor Other fuel 05</t>
  </si>
  <si>
    <t>PRIMARY amount Other Fuel 05</t>
  </si>
  <si>
    <t>Name Other Fuel 06</t>
  </si>
  <si>
    <t>Conversion factor Other fuel 06</t>
  </si>
  <si>
    <t>PRIMARY amount Other Fuel 06</t>
  </si>
  <si>
    <t>Name Other Fuel 07</t>
  </si>
  <si>
    <t>Conversion factor Other fuel 07</t>
  </si>
  <si>
    <t>PRIMARY amount Other Fuel 07</t>
  </si>
  <si>
    <t>Name Other Fuel 08</t>
  </si>
  <si>
    <t>Conversion factor Other fuel 08</t>
  </si>
  <si>
    <t>PRIMARY amount Other Fuel 08</t>
  </si>
  <si>
    <t>Name Other Fuel 09</t>
  </si>
  <si>
    <t>Conversion factor Other fuel 09</t>
  </si>
  <si>
    <t>PRIMARY amount Other Fuel 09</t>
  </si>
  <si>
    <t>Name Other Fuel 10</t>
  </si>
  <si>
    <t>Conversion factor Other fuel 10</t>
  </si>
  <si>
    <t>PRIMARY amount Other Fuel 10</t>
  </si>
  <si>
    <t>Name Other Fuel 11</t>
  </si>
  <si>
    <t>Conversion factor Other fuel 11</t>
  </si>
  <si>
    <t>PRIMARY amount Other Fuel 11</t>
  </si>
  <si>
    <t>PRIMARY amount grid electricity</t>
  </si>
  <si>
    <t>PRIMARY amount non-grid electricity renewables</t>
  </si>
  <si>
    <t>PRIMARY amount Natural gas</t>
  </si>
  <si>
    <t>PRIMARY amount Fuel oil</t>
  </si>
  <si>
    <t>PRIMARY amount Coal</t>
  </si>
  <si>
    <t>PRIMARY amount Coke</t>
  </si>
  <si>
    <t>PRIMARY amount LPG</t>
  </si>
  <si>
    <t>PRIMARY amount Ethane</t>
  </si>
  <si>
    <t>PRIMARY amount Kerosene</t>
  </si>
  <si>
    <t>PRIMARY amount Petrol</t>
  </si>
  <si>
    <t>PRIMARY amount Gas oil/Diesel</t>
  </si>
  <si>
    <t>PRIMARY amount Naphtha</t>
  </si>
  <si>
    <t>PRIMARY amount Petroleum Coke</t>
  </si>
  <si>
    <t>PRIMARY amount Refinery gas</t>
  </si>
  <si>
    <t>Weighted base year carbon emission factor</t>
  </si>
  <si>
    <t>Base year data split</t>
  </si>
  <si>
    <t>Fixed throughput</t>
  </si>
  <si>
    <t>Fixed throughput unit</t>
  </si>
  <si>
    <t>Fixed amount</t>
  </si>
  <si>
    <t>Variable site total throughput</t>
  </si>
  <si>
    <t>Variable site total throughput unit</t>
  </si>
  <si>
    <t>Variable site total intensity</t>
  </si>
  <si>
    <t>Variable site total amount</t>
  </si>
  <si>
    <t>Variable product name 01</t>
  </si>
  <si>
    <t>Variable throughput product 01</t>
  </si>
  <si>
    <t>Variable throughput unit product 01</t>
  </si>
  <si>
    <t>Variable intensity product 01</t>
  </si>
  <si>
    <t>Variable primary amount product 01</t>
  </si>
  <si>
    <t>Variable product name 02</t>
  </si>
  <si>
    <t>Variable throughput product 02</t>
  </si>
  <si>
    <t>Variable throughput unit product 02</t>
  </si>
  <si>
    <t>Variable intensity product 02</t>
  </si>
  <si>
    <t>Variable primary amount product 02</t>
  </si>
  <si>
    <t>Variable product name 03</t>
  </si>
  <si>
    <t>Variable throughput unit product 03</t>
  </si>
  <si>
    <t>Variable throughput product 03</t>
  </si>
  <si>
    <t>Variable intensity product 03</t>
  </si>
  <si>
    <t>Variable primary amount product 03</t>
  </si>
  <si>
    <t>Variable product name 04</t>
  </si>
  <si>
    <t>Variable throughput product 04</t>
  </si>
  <si>
    <t>Variable throughput unit product 04</t>
  </si>
  <si>
    <t>Variable intensity product 04</t>
  </si>
  <si>
    <t>Variable primary amount product 04</t>
  </si>
  <si>
    <t>Variable product name 05</t>
  </si>
  <si>
    <t>Variable throughput product 05</t>
  </si>
  <si>
    <t>Variable throughput unit product 05</t>
  </si>
  <si>
    <t>Variable intensity product 05</t>
  </si>
  <si>
    <t>Variable primary amount product 05</t>
  </si>
  <si>
    <t>Variable product name 06</t>
  </si>
  <si>
    <t>Variable throughput product 06</t>
  </si>
  <si>
    <t>Variable throughput unit product 06</t>
  </si>
  <si>
    <t>Variable intensity product 06</t>
  </si>
  <si>
    <t>Variable primary amount product 06</t>
  </si>
  <si>
    <t>Variable product name 07</t>
  </si>
  <si>
    <t>Variable throughput product 07</t>
  </si>
  <si>
    <t>Variable throughput unit product 07</t>
  </si>
  <si>
    <t>Variable intensity product 07</t>
  </si>
  <si>
    <t>Variable primary amount product 07</t>
  </si>
  <si>
    <t>Variable product name 08</t>
  </si>
  <si>
    <t>Variable throughput product 08</t>
  </si>
  <si>
    <t>Variable throughput unit product 08</t>
  </si>
  <si>
    <t>Variable intensity product 08</t>
  </si>
  <si>
    <t>Variable primary amount product 08</t>
  </si>
  <si>
    <t>Variable product name 09</t>
  </si>
  <si>
    <t>Variable throughput product 09</t>
  </si>
  <si>
    <t>Variable throughput unit product 09</t>
  </si>
  <si>
    <t>Variable intensity product 09</t>
  </si>
  <si>
    <t>Variable primary amount product 09</t>
  </si>
  <si>
    <t>Variable product name 10</t>
  </si>
  <si>
    <t>Variable throughput product 10</t>
  </si>
  <si>
    <t>Variable throughput unit product 10</t>
  </si>
  <si>
    <t>Variable intensity product 10</t>
  </si>
  <si>
    <t>Variable primary amount product 10</t>
  </si>
  <si>
    <t>Variable product name 11</t>
  </si>
  <si>
    <t>Variable throughput product 11</t>
  </si>
  <si>
    <t>Variable throughput unit product 11</t>
  </si>
  <si>
    <t>Variable intensity product 11</t>
  </si>
  <si>
    <t>Variable primary amount product 11</t>
  </si>
  <si>
    <t>Variable product name 12</t>
  </si>
  <si>
    <t>Variable throughput product 12</t>
  </si>
  <si>
    <t>Variable throughput unit product 12</t>
  </si>
  <si>
    <t>Variable intensity product 12</t>
  </si>
  <si>
    <t>Variable primary amount product 12</t>
  </si>
  <si>
    <t>Variable product name 13</t>
  </si>
  <si>
    <t>Variable throughput product 13</t>
  </si>
  <si>
    <t>Variable throughput unit product 13</t>
  </si>
  <si>
    <t>Variable intensity product 13</t>
  </si>
  <si>
    <t>Variable primary amount product 13</t>
  </si>
  <si>
    <t>Variable product name 14</t>
  </si>
  <si>
    <t>Variable throughput product 14</t>
  </si>
  <si>
    <t>Variable throughput unit product 14</t>
  </si>
  <si>
    <t>Variable intensity product 14</t>
  </si>
  <si>
    <t>Variable primary amount product 14</t>
  </si>
  <si>
    <t>Variable product name 15</t>
  </si>
  <si>
    <t>Variable throughput product 15</t>
  </si>
  <si>
    <t>Variable throughput unit product 15</t>
  </si>
  <si>
    <t>Variable intensity product 15</t>
  </si>
  <si>
    <t>Variable primary amount product 15</t>
  </si>
  <si>
    <t>Facility targets</t>
  </si>
  <si>
    <t>Facility target % TP7</t>
  </si>
  <si>
    <t>Facility target % TP8</t>
  </si>
  <si>
    <t>Facility target % TP9</t>
  </si>
  <si>
    <t>Facility base year</t>
  </si>
  <si>
    <t>Month</t>
  </si>
  <si>
    <t>Throughput units / month</t>
  </si>
  <si>
    <t>Difference</t>
  </si>
  <si>
    <t>R² value (coefficient of determination)</t>
  </si>
  <si>
    <t>Number of data points</t>
  </si>
  <si>
    <t>Complete the table with weekly energy and throughput data for a single product made during the base year period to estimate the FIXED and VARIABLE components</t>
  </si>
  <si>
    <t>Week commencing</t>
  </si>
  <si>
    <t>Throughput units/week</t>
  </si>
  <si>
    <t>Observations</t>
  </si>
  <si>
    <t>UK Government GHG Conversion Factors for Company Reporting</t>
  </si>
  <si>
    <t>Fuels</t>
  </si>
  <si>
    <t>Index</t>
  </si>
  <si>
    <t>Emissions source:</t>
  </si>
  <si>
    <t xml:space="preserve">Next publication date: </t>
  </si>
  <si>
    <t>Factor set:</t>
  </si>
  <si>
    <t>Full set</t>
  </si>
  <si>
    <t>Scope:</t>
  </si>
  <si>
    <t>Scope 1</t>
  </si>
  <si>
    <t>Version:</t>
  </si>
  <si>
    <t>Year:</t>
  </si>
  <si>
    <t>Fuels conversion factors should be used for primary fuel sources combusted at a site or in an asset owned or controlled by the reporting organisation.</t>
  </si>
  <si>
    <t>Guidance</t>
  </si>
  <si>
    <t>● Gross calorific value (CV)/ net CV basis - Organisations should determine whether to use the net or gross calorific value of fuels according to their data. For example, the majority of energy billing is provided on a gross CV basis.</t>
  </si>
  <si>
    <t>●  'Diesel (average biofuel blend)'/'diesel (100% mineral oil)' - typically organisations purchasing forecourt fuel should use 'diesel (average biofuel blend)'. It should be noted that any fuel an organisation reports in Scope 1 that has biofuel content must have the ‘outside of scopes’ portion reported separately as per the 'WBCSD/WRI GHG Protocol (chapter 9)'.  See information about the outside of scopes emissions in the example section below.
● In 2019 update, a new factor for natural gas, "natural gas (100% mineral blend)", was added in. The difference between the "natural gas" and  "natural gas (100% mineral blend)" factors is that the former refers to the natural gas received through the gas mains grid network in the UK containing a limited biogas content. Therefore, any organisation that reports emissions from natural gas use should use the "natural gas" factor. The natural gas (100% mineral blend) factor can be used for calculating bespoke fuel mixtures.</t>
  </si>
  <si>
    <t>●  If any fuel type or unit has no result in the table, this is an indication the conversion factor is not available or does not exist  (such as lubricants in litres).</t>
  </si>
  <si>
    <t>Example of calculating emissions from fuels</t>
  </si>
  <si>
    <t xml:space="preserve">Company A needs to report the Scope 1 emissions from its natural gas and diesel use.  </t>
  </si>
  <si>
    <r>
      <t>●  For natural gas consumption it selects a kWh conversion factor on a gross CV basis - this is the basis of most energy bills.  It reports in CO</t>
    </r>
    <r>
      <rPr>
        <vertAlign val="subscript"/>
        <sz val="11"/>
        <color indexed="56"/>
        <rFont val="Calibri"/>
        <family val="2"/>
      </rPr>
      <t>2</t>
    </r>
    <r>
      <rPr>
        <sz val="11"/>
        <color indexed="56"/>
        <rFont val="Calibri"/>
        <family val="2"/>
      </rPr>
      <t>e for all fuels combusted at its premises.</t>
    </r>
  </si>
  <si>
    <t>●  It is faced with two different types of diesel conversion factors, '100% mineral fuel' and 'diesel (average biofuel blend)'. Since it fills up its vehicles at a national chain of filling stations, it selects the average biofuel blend (this is the correct conversion factor for standard forecourt fuel, which contains a small blend of biofuel).</t>
  </si>
  <si>
    <t>The activity data (that is, litres) is multiplied by the appropriate conversion factor to produce company A's fuel emissions. 
Organisations should determine whether to use the net or gross calorific value of fuels according to their data. For example, the majority of energy billing is provided on a gross CV basis.</t>
  </si>
  <si>
    <r>
      <t>Since company A is reporting a type of fuel that has biofuel content, it should also account for the ‘biogenic’ part of this fuel. To calculate this, it must also multiply the total litres of fuel used by the ‘outside of scopes’ fuel factor for ‘forecourt fuels- diesel (average biofuel blend)’ and report as a separate line item within its report called ‘outside of scopes’. This will not be included in the organisation's emissions total, but displayed separately within the emissions report. This ensures that the organisation is being transparent with regard to all potential sources of CO</t>
    </r>
    <r>
      <rPr>
        <vertAlign val="subscript"/>
        <sz val="11"/>
        <color indexed="56"/>
        <rFont val="Calibri"/>
        <family val="2"/>
      </rPr>
      <t>2</t>
    </r>
    <r>
      <rPr>
        <sz val="11"/>
        <color indexed="56"/>
        <rFont val="Calibri"/>
        <family val="2"/>
      </rPr>
      <t xml:space="preserve"> from its activities.  </t>
    </r>
  </si>
  <si>
    <t>For more information refer to the ‘Outside of scopes’ tab for guidance.</t>
  </si>
  <si>
    <t>Activity</t>
  </si>
  <si>
    <t>Fuel</t>
  </si>
  <si>
    <t>Unit</t>
  </si>
  <si>
    <r>
      <t>Total kg CO</t>
    </r>
    <r>
      <rPr>
        <vertAlign val="subscript"/>
        <sz val="11"/>
        <color indexed="56"/>
        <rFont val="Calibri"/>
        <family val="2"/>
      </rPr>
      <t>2</t>
    </r>
    <r>
      <rPr>
        <sz val="11"/>
        <color indexed="56"/>
        <rFont val="Calibri"/>
        <family val="2"/>
      </rPr>
      <t>e per unit</t>
    </r>
  </si>
  <si>
    <r>
      <t>kg CO</t>
    </r>
    <r>
      <rPr>
        <vertAlign val="subscript"/>
        <sz val="11"/>
        <color indexed="56"/>
        <rFont val="Calibri"/>
        <family val="2"/>
      </rPr>
      <t>2</t>
    </r>
    <r>
      <rPr>
        <sz val="11"/>
        <color indexed="56"/>
        <rFont val="Calibri"/>
        <family val="2"/>
      </rPr>
      <t>e of CO</t>
    </r>
    <r>
      <rPr>
        <vertAlign val="subscript"/>
        <sz val="11"/>
        <color indexed="56"/>
        <rFont val="Calibri"/>
        <family val="2"/>
      </rPr>
      <t>2</t>
    </r>
    <r>
      <rPr>
        <sz val="11"/>
        <color indexed="56"/>
        <rFont val="Calibri"/>
        <family val="2"/>
      </rPr>
      <t xml:space="preserve"> per unit</t>
    </r>
  </si>
  <si>
    <r>
      <t>kg CO</t>
    </r>
    <r>
      <rPr>
        <vertAlign val="subscript"/>
        <sz val="11"/>
        <color indexed="56"/>
        <rFont val="Calibri"/>
        <family val="2"/>
      </rPr>
      <t>2</t>
    </r>
    <r>
      <rPr>
        <sz val="11"/>
        <color indexed="56"/>
        <rFont val="Calibri"/>
        <family val="2"/>
      </rPr>
      <t>e of CH</t>
    </r>
    <r>
      <rPr>
        <vertAlign val="subscript"/>
        <sz val="11"/>
        <color indexed="56"/>
        <rFont val="Calibri"/>
        <family val="2"/>
      </rPr>
      <t>4</t>
    </r>
    <r>
      <rPr>
        <sz val="11"/>
        <color indexed="56"/>
        <rFont val="Calibri"/>
        <family val="2"/>
      </rPr>
      <t xml:space="preserve"> per unit</t>
    </r>
  </si>
  <si>
    <r>
      <t>kg CO</t>
    </r>
    <r>
      <rPr>
        <vertAlign val="subscript"/>
        <sz val="11"/>
        <color indexed="56"/>
        <rFont val="Calibri"/>
        <family val="2"/>
      </rPr>
      <t>2</t>
    </r>
    <r>
      <rPr>
        <sz val="11"/>
        <color indexed="56"/>
        <rFont val="Calibri"/>
        <family val="2"/>
      </rPr>
      <t>e of N</t>
    </r>
    <r>
      <rPr>
        <vertAlign val="subscript"/>
        <sz val="11"/>
        <color indexed="56"/>
        <rFont val="Calibri"/>
        <family val="2"/>
      </rPr>
      <t>2</t>
    </r>
    <r>
      <rPr>
        <sz val="11"/>
        <color indexed="56"/>
        <rFont val="Calibri"/>
        <family val="2"/>
      </rPr>
      <t>O per unit</t>
    </r>
  </si>
  <si>
    <t>Gaseous fuels</t>
  </si>
  <si>
    <t>Butane</t>
  </si>
  <si>
    <t>tonnes</t>
  </si>
  <si>
    <t>litres</t>
  </si>
  <si>
    <t>kWh (Net CV)</t>
  </si>
  <si>
    <t>kWh (Gross CV)</t>
  </si>
  <si>
    <t>CNG</t>
  </si>
  <si>
    <t>LNG</t>
  </si>
  <si>
    <t>Natural gas</t>
  </si>
  <si>
    <t>cubic metres</t>
  </si>
  <si>
    <t>Natural gas (100% mineral blend)</t>
  </si>
  <si>
    <t>Other petroleum gas</t>
  </si>
  <si>
    <t>Propane</t>
  </si>
  <si>
    <t xml:space="preserve"> </t>
  </si>
  <si>
    <t>Liquid fuels</t>
  </si>
  <si>
    <t>Aviation spirit</t>
  </si>
  <si>
    <t>Aviation turbine fuel</t>
  </si>
  <si>
    <t>Burning oil</t>
  </si>
  <si>
    <t>Diesel (average biofuel blend)</t>
  </si>
  <si>
    <t>Diesel (100% mineral diesel)</t>
  </si>
  <si>
    <t>Fuel oil</t>
  </si>
  <si>
    <t>Gas oil</t>
  </si>
  <si>
    <t>Lubricants</t>
  </si>
  <si>
    <t>Petrol (average biofuel blend)</t>
  </si>
  <si>
    <t>Petrol (100% mineral petrol)</t>
  </si>
  <si>
    <t>Processed fuel oils - residual oil</t>
  </si>
  <si>
    <t>Processed fuel oils - distillate oil</t>
  </si>
  <si>
    <t>Refinery miscellaneous</t>
  </si>
  <si>
    <t>Waste oils</t>
  </si>
  <si>
    <t>Marine gas oil</t>
  </si>
  <si>
    <t>Marine fuel oil</t>
  </si>
  <si>
    <t>Solid fuels</t>
  </si>
  <si>
    <t>Coal (industrial)</t>
  </si>
  <si>
    <t>Coal (electricity generation)</t>
  </si>
  <si>
    <t>Coal (domestic)</t>
  </si>
  <si>
    <t>Coking coal</t>
  </si>
  <si>
    <t>Coal (electricity generation - home produced coal only)</t>
  </si>
  <si>
    <t>FAQs</t>
  </si>
  <si>
    <t>I need a conversion factor for ‘therms’, how can I convert the kWh conversion factors to suit my needs?</t>
  </si>
  <si>
    <t>We provide a specific conversion table at the back of these listings to allow organisations to convert the conversion factors into different units where required.   Please see the ‘Conversions’ tab.</t>
  </si>
  <si>
    <t>I need a conversion factor for my specific % biofuel blend, rather than the “average biofuel blend” factor that is reported here.</t>
  </si>
  <si>
    <r>
      <t>The steps taken to calculate this by hand are straightforward and can be illustrated using the following worked example (consistent for all biofuels, conventional fuels, scopes and units):
Company B wants to report on its Scope 1 fuel emissions (in kgCO</t>
    </r>
    <r>
      <rPr>
        <vertAlign val="subscript"/>
        <sz val="11"/>
        <color indexed="56"/>
        <rFont val="Calibri"/>
        <family val="2"/>
      </rPr>
      <t>2</t>
    </r>
    <r>
      <rPr>
        <sz val="11"/>
        <color indexed="56"/>
        <rFont val="Calibri"/>
        <family val="2"/>
      </rPr>
      <t>e/litre) from a specific biodiesel blend of X%. Using 2021 values, it is known that:
●100% mineral diesel conversion factor = 2.706 kgCO</t>
    </r>
    <r>
      <rPr>
        <vertAlign val="subscript"/>
        <sz val="11"/>
        <color indexed="56"/>
        <rFont val="Calibri"/>
        <family val="2"/>
      </rPr>
      <t>2</t>
    </r>
    <r>
      <rPr>
        <sz val="11"/>
        <color indexed="56"/>
        <rFont val="Calibri"/>
        <family val="2"/>
      </rPr>
      <t>e/litre
●Biodiesel ME conversion factor (see Bioenergy sheet) = 0.168 kgCO</t>
    </r>
    <r>
      <rPr>
        <vertAlign val="subscript"/>
        <sz val="11"/>
        <color indexed="56"/>
        <rFont val="Calibri"/>
        <family val="2"/>
      </rPr>
      <t>2</t>
    </r>
    <r>
      <rPr>
        <sz val="11"/>
        <color indexed="56"/>
        <rFont val="Calibri"/>
        <family val="2"/>
      </rPr>
      <t>e/litre
Therefore, X% biodiesel blend conversion factor = (X% x 0.168) + [(1-X%) x 2.706]</t>
    </r>
  </si>
  <si>
    <r>
      <t>Do the factors for aviation fuels include the indirect effects of non-CO</t>
    </r>
    <r>
      <rPr>
        <b/>
        <vertAlign val="subscript"/>
        <sz val="11"/>
        <color indexed="56"/>
        <rFont val="Calibri"/>
        <family val="2"/>
      </rPr>
      <t>2</t>
    </r>
    <r>
      <rPr>
        <b/>
        <sz val="11"/>
        <color indexed="56"/>
        <rFont val="Calibri"/>
        <family val="2"/>
      </rPr>
      <t xml:space="preserve"> emissions from aviation (water vapour, contrails, NOX, etc.)?</t>
    </r>
  </si>
  <si>
    <r>
      <t>The aviation fuel factors currently only account for the direct effect of CO</t>
    </r>
    <r>
      <rPr>
        <vertAlign val="subscript"/>
        <sz val="11"/>
        <color indexed="56"/>
        <rFont val="Calibri"/>
        <family val="2"/>
      </rPr>
      <t>2</t>
    </r>
    <r>
      <rPr>
        <sz val="11"/>
        <color indexed="56"/>
        <rFont val="Calibri"/>
        <family val="2"/>
      </rPr>
      <t>, CH</t>
    </r>
    <r>
      <rPr>
        <vertAlign val="subscript"/>
        <sz val="11"/>
        <color indexed="56"/>
        <rFont val="Calibri"/>
        <family val="2"/>
      </rPr>
      <t>4</t>
    </r>
    <r>
      <rPr>
        <sz val="11"/>
        <color indexed="56"/>
        <rFont val="Calibri"/>
        <family val="2"/>
      </rPr>
      <t xml:space="preserve"> and N</t>
    </r>
    <r>
      <rPr>
        <vertAlign val="subscript"/>
        <sz val="11"/>
        <color indexed="56"/>
        <rFont val="Calibri"/>
        <family val="2"/>
      </rPr>
      <t>2</t>
    </r>
    <r>
      <rPr>
        <sz val="11"/>
        <color indexed="56"/>
        <rFont val="Calibri"/>
        <family val="2"/>
      </rPr>
      <t>O emissions. Organisations should include the indirect effects of non-CO</t>
    </r>
    <r>
      <rPr>
        <vertAlign val="subscript"/>
        <sz val="11"/>
        <color indexed="56"/>
        <rFont val="Calibri"/>
        <family val="2"/>
      </rPr>
      <t>2</t>
    </r>
    <r>
      <rPr>
        <sz val="11"/>
        <color indexed="56"/>
        <rFont val="Calibri"/>
        <family val="2"/>
      </rPr>
      <t xml:space="preserve"> emissions when reporting air travel emissions to capture the full climate impact of their travel, as indicated in the ‘Business travel- air’ tab. To do this, it is recommended that a multiplier of 1.9 is applied to the CO</t>
    </r>
    <r>
      <rPr>
        <vertAlign val="subscript"/>
        <sz val="11"/>
        <color indexed="56"/>
        <rFont val="Calibri"/>
        <family val="2"/>
      </rPr>
      <t>2</t>
    </r>
    <r>
      <rPr>
        <sz val="11"/>
        <color indexed="56"/>
        <rFont val="Calibri"/>
        <family val="2"/>
      </rPr>
      <t xml:space="preserve"> component only of the direct emissions from aviation, and then summed with the CH</t>
    </r>
    <r>
      <rPr>
        <vertAlign val="subscript"/>
        <sz val="11"/>
        <color indexed="56"/>
        <rFont val="Calibri"/>
        <family val="2"/>
      </rPr>
      <t>4</t>
    </r>
    <r>
      <rPr>
        <sz val="11"/>
        <color indexed="56"/>
        <rFont val="Calibri"/>
        <family val="2"/>
      </rPr>
      <t xml:space="preserve"> and N</t>
    </r>
    <r>
      <rPr>
        <vertAlign val="subscript"/>
        <sz val="11"/>
        <color indexed="56"/>
        <rFont val="Calibri"/>
        <family val="2"/>
      </rPr>
      <t>2</t>
    </r>
    <r>
      <rPr>
        <sz val="11"/>
        <color indexed="56"/>
        <rFont val="Calibri"/>
        <family val="2"/>
      </rPr>
      <t>O direct emissions to calculate total kgCO</t>
    </r>
    <r>
      <rPr>
        <vertAlign val="subscript"/>
        <sz val="11"/>
        <color indexed="56"/>
        <rFont val="Calibri"/>
        <family val="2"/>
      </rPr>
      <t>2</t>
    </r>
    <r>
      <rPr>
        <sz val="11"/>
        <color indexed="56"/>
        <rFont val="Calibri"/>
        <family val="2"/>
      </rPr>
      <t>e (including direct and indirect effects). Further information can be found in the ‘Business travel- air’ tab and in Table 4 and paragraphs 8.37-8.41 in the Methodology Paper.</t>
    </r>
  </si>
  <si>
    <t>For information about how the conversion factors have been derived, please refer to the 'Methodology paper' that accompanies the conversion factors.</t>
  </si>
  <si>
    <t>Fuel properties</t>
  </si>
  <si>
    <t>None</t>
  </si>
  <si>
    <t>-</t>
  </si>
  <si>
    <t>The fuel properties can be used to determine the typical calorific values/densities of most common fuels.</t>
  </si>
  <si>
    <t>Net CV</t>
  </si>
  <si>
    <t>Gross CV</t>
  </si>
  <si>
    <t>Density</t>
  </si>
  <si>
    <t>Density*</t>
  </si>
  <si>
    <t>GJ/tonne</t>
  </si>
  <si>
    <t>kg/m3</t>
  </si>
  <si>
    <t>litres/tonne</t>
  </si>
  <si>
    <t>kWh/kg</t>
  </si>
  <si>
    <t>kWh/litre</t>
  </si>
  <si>
    <t>Commonly Used Fossil Fuels</t>
  </si>
  <si>
    <t>Aviation Spirit</t>
  </si>
  <si>
    <t>Aviation Turbine Fuel</t>
  </si>
  <si>
    <t>Burning Oil</t>
  </si>
  <si>
    <t>Coking Coal</t>
  </si>
  <si>
    <t>Gas Oil</t>
  </si>
  <si>
    <t>Natural Gas (100% mineral blend)</t>
  </si>
  <si>
    <t>Other fuels</t>
  </si>
  <si>
    <t>Biodiesel (ME)</t>
  </si>
  <si>
    <t>Biodiesel (BtL or HVO)</t>
  </si>
  <si>
    <t>Bioethanol</t>
  </si>
  <si>
    <t>BioETBE</t>
  </si>
  <si>
    <t>Biogas</t>
  </si>
  <si>
    <t xml:space="preserve">Biomethane </t>
  </si>
  <si>
    <t>Grasses/Straw</t>
  </si>
  <si>
    <t>Landfill Gas</t>
  </si>
  <si>
    <t>Wood Chips</t>
  </si>
  <si>
    <t>Wood Logs</t>
  </si>
  <si>
    <t>Wood Pellets</t>
  </si>
  <si>
    <t>Gases</t>
  </si>
  <si>
    <r>
      <t>Methane (CH</t>
    </r>
    <r>
      <rPr>
        <b/>
        <vertAlign val="subscript"/>
        <sz val="11"/>
        <color indexed="56"/>
        <rFont val="Calibri"/>
        <family val="2"/>
      </rPr>
      <t>4</t>
    </r>
    <r>
      <rPr>
        <b/>
        <sz val="11"/>
        <color indexed="56"/>
        <rFont val="Calibri"/>
        <family val="2"/>
      </rPr>
      <t>)</t>
    </r>
  </si>
  <si>
    <r>
      <t>Carbon Dioxide (CO</t>
    </r>
    <r>
      <rPr>
        <b/>
        <vertAlign val="subscript"/>
        <sz val="11"/>
        <color indexed="56"/>
        <rFont val="Calibri"/>
        <family val="2"/>
      </rPr>
      <t>2</t>
    </r>
    <r>
      <rPr>
        <b/>
        <sz val="11"/>
        <color indexed="56"/>
        <rFont val="Calibri"/>
        <family val="2"/>
      </rPr>
      <t>)</t>
    </r>
  </si>
  <si>
    <t>* Please note that these units are referring to volume/mass, which is the inverse of density (known as Specific Volume).</t>
  </si>
  <si>
    <t>UK electricity</t>
  </si>
  <si>
    <t>Scope 2</t>
  </si>
  <si>
    <t>UK electricity conversion factors should be used to report on electricity used by an organisation at sites owned/controlled by them.  This is reported as a Scope 2, indirect emission.  The conversion factors in this listing are for the electricity supplied to the grid that organisations purchase - they do not include the emissions associated with the transmission and distribution of electricity.</t>
  </si>
  <si>
    <t>●  The year displayed alongside the electricity factors is the reporting year for which users should apply these factors. This is based on a calendar reporting year.</t>
  </si>
  <si>
    <t>●  The Government's 'Environmental reporting guidelines' require that Scope 2 electricity emissions are reported using location-based grid average emissions factors. A market-based Scope 2 figure may optionally be reported but only in addition to the location-based figure. Market-based emissions reflect a contractual entitlement to claim an emissions rate, allowing for a reduced emission figure where, for example, a renewable energy tariff is backed by certificates to track attributes associated with energy generation. The location-based emissions reflect the average emission of the grid where the energy consumption occurs and is calculated using these UK Electricity grid average factors below. Organisations using a market-based figure may want to consider adding narrative information on whether their contractual arrangements cause additional renewable electricity generation.</t>
  </si>
  <si>
    <t>●  We advise that organisations also account for the transmission and distribution (T&amp;D) losses of the electricity they purchase, which occur between the power station and their site(s). They should do so using the ‘transmission and distribution’ factors for UK electricity. The emissions from T&amp;D should be accounted for in Scope 3.</t>
  </si>
  <si>
    <t>●  Organisations that generate renewable energy or purchase green energy should refer to chapter 2 of the Government's 'Environmental reporting guidelines' for information on how to account for their electricity use.</t>
  </si>
  <si>
    <t>●  If an organisation voluntarily reports the electricity used at a site/for an asset in its supply chain that is not directly under its ownership or control, it may report this electricity in Scope 3. A duplicate set of conversion factors have been provided for this purpose in the Scope 3 listing, under ‘managed assets- electricity’.</t>
  </si>
  <si>
    <t>Why has the electricity factor changed?</t>
  </si>
  <si>
    <r>
      <t>The UK electricity factor is prone to fluctuate from year to year as the fuel mix consumed in UK power stations (and auto-generators) and the proportion of net imported electricity changes.
These annual changes can be large as the factor depends very heavily on the relative prices of coal and natural gas as well as fluctuations in peak demand and renewables. Given the importance of this factor, the explanation for fluctuations will be presented here henceforth.
In the 2019 GHG Conversion Factors, there was a 10% decrease in the UK Electricity CO</t>
    </r>
    <r>
      <rPr>
        <vertAlign val="subscript"/>
        <sz val="11"/>
        <color indexed="56"/>
        <rFont val="Calibri"/>
        <family val="2"/>
      </rPr>
      <t>2</t>
    </r>
    <r>
      <rPr>
        <sz val="11"/>
        <color indexed="56"/>
        <rFont val="Calibri"/>
        <family val="2"/>
      </rPr>
      <t>e factor compared to the previous year. In the 2020 update, the CO</t>
    </r>
    <r>
      <rPr>
        <vertAlign val="subscript"/>
        <sz val="11"/>
        <color indexed="56"/>
        <rFont val="Calibri"/>
        <family val="2"/>
      </rPr>
      <t>2</t>
    </r>
    <r>
      <rPr>
        <sz val="11"/>
        <color indexed="56"/>
        <rFont val="Calibri"/>
        <family val="2"/>
      </rPr>
      <t>e factor decreased (compared with 2019) again by 9%. In the 2021 update, the CO</t>
    </r>
    <r>
      <rPr>
        <vertAlign val="subscript"/>
        <sz val="11"/>
        <color indexed="56"/>
        <rFont val="Calibri"/>
        <family val="2"/>
      </rPr>
      <t>2</t>
    </r>
    <r>
      <rPr>
        <sz val="11"/>
        <color indexed="56"/>
        <rFont val="Calibri"/>
        <family val="2"/>
      </rPr>
      <t>e factor has again decreased by 9% (in comparison to the 2020 update). The above decreases are all due to a decrease in coal use in electricity generation and an increase in renewable generation.</t>
    </r>
  </si>
  <si>
    <t>Example of calculating emissions from UK electricity</t>
  </si>
  <si>
    <t xml:space="preserve">Company G reports the emissions from the electricity it uses, which can be found by reading its electricity meters or gathering data from utility bills. </t>
  </si>
  <si>
    <t>The kWh electricity use is multiplied by the ‘electricity generated’ figure appropriate to the reporting year to produce company G's UK Scope 2 electricity emissions.</t>
  </si>
  <si>
    <t>Country</t>
  </si>
  <si>
    <t>Electricity generated</t>
  </si>
  <si>
    <t>Electricity: UK</t>
  </si>
  <si>
    <t>kWh</t>
  </si>
  <si>
    <t>I am not publishing a company report, but I need a factor for ‘electricity consumption’ instead of ‘electricity generation’ what should I do?</t>
  </si>
  <si>
    <t>For company reporting purposes, organisations should use the ‘electricity generation’ figures for Scope 2 electricity and may use the ‘T&amp;D’ factors found in the 'Transmission and distribution' tab for reporting Scope 3 losses.  However, for other reporting contexts (where specific scopes do not need to be reported) the ‘electricity consumption’ figure can be calculated by adding together the ‘electricity generation’ and the ‘T&amp;D’ values within each year.</t>
  </si>
  <si>
    <t>I previously used a 5-year grid rolling average factors. These factors are based on 1-year average factors and look quite different, what should I do?</t>
  </si>
  <si>
    <t>Please refer to the 'What's new in 2013'  section of the ‘What’s new’ tab of the 2013 GHG Conversion factors spreadsheet for full instructions on how to rebaseline your data to compensate for the changes made.</t>
  </si>
  <si>
    <t>Transmission and distribution</t>
  </si>
  <si>
    <t>Scope 3</t>
  </si>
  <si>
    <t>Transmission and distribution (T&amp;D) factors should be used to report the Scope 3 emissions associated with grid losses (the energy loss that occurs in getting the electricity from the power plant to the organisations that purchase it).</t>
  </si>
  <si>
    <t xml:space="preserve">● To account for electricity emissions fully, organisations should account for the T&amp;D loss associated with its purchased power.  </t>
  </si>
  <si>
    <t>●  The year displayed alongside the factors is the reporting year for which users should apply these factors. This is based on a calendar reporting year.</t>
  </si>
  <si>
    <t>● Transmission and distribution losses are no longer published for overseas electricity, since these are now calculated and published by the IEA.</t>
  </si>
  <si>
    <t>Calculating emissions from T&amp;D</t>
  </si>
  <si>
    <t xml:space="preserve">Company H reports the emissions from T&amp;D losses associated with its electricity use - this is a Scope 3 emission.   </t>
  </si>
  <si>
    <t xml:space="preserve">For every kWh of electricity company H purchases, it reports its associated energy losses using the T&amp;D factor for that year.         </t>
  </si>
  <si>
    <t>Every kWh company H uses is multiplied by the appropriate T&amp;D conversion factor to produce its Scope 3 T&amp;D emissions impact.</t>
  </si>
  <si>
    <t>Type</t>
  </si>
  <si>
    <t>T&amp;D- UK electricity</t>
  </si>
  <si>
    <t>Distribution - district heat &amp; steam</t>
  </si>
  <si>
    <t>5% loss</t>
  </si>
  <si>
    <t>Is reporting T&amp;D compulsory?</t>
  </si>
  <si>
    <t>As with other Scope 3 impacts, reporting T&amp;D is voluntary. However, it is considered best practice for UK reporting.</t>
  </si>
  <si>
    <t>I am not publishing a company report, but I need a factor for ‘electricity consumption’. What should I do?</t>
  </si>
  <si>
    <t>For company reporting purposes, organisations should use the ‘electricity generation’ figures for Scope 2 electricity and may use the ‘T&amp;D’ factors for reporting Scope 3 losses. However, for other reporting contexts (where specific scopes do not need to be reported) the ‘electricity consumption’ figure (as published in 2011 and 2012 conversion factors) can be calculated by adding together the ‘electricity generation’ and ‘T&amp;D’ values within each year for each country.</t>
  </si>
  <si>
    <t>ENERGY</t>
  </si>
  <si>
    <t>CARBON</t>
  </si>
  <si>
    <t>MWh</t>
  </si>
  <si>
    <t>GJ</t>
  </si>
  <si>
    <t>kgC</t>
  </si>
  <si>
    <t>tonneC</t>
  </si>
  <si>
    <t>Note: for the formulae below to work, you must enter 0 values for any products that aren't relevant.  (Don't delete these or leave blank!)</t>
  </si>
  <si>
    <t>Product 1</t>
  </si>
  <si>
    <t>Product 2</t>
  </si>
  <si>
    <t>Product 3</t>
  </si>
  <si>
    <t>Product 4</t>
  </si>
  <si>
    <t>Product 5</t>
  </si>
  <si>
    <t>Product 6</t>
  </si>
  <si>
    <t>Product 7</t>
  </si>
  <si>
    <t>Product 8</t>
  </si>
  <si>
    <t>Product 9</t>
  </si>
  <si>
    <t>Product 10</t>
  </si>
  <si>
    <t>Product 11</t>
  </si>
  <si>
    <t>Product 12</t>
  </si>
  <si>
    <t>Product 13</t>
  </si>
  <si>
    <t>Product 14</t>
  </si>
  <si>
    <t>Product 15</t>
  </si>
  <si>
    <t>TOTAL PRIMARY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</si>
</sst>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_(* #,##0.00_);_(* \(#,##0.00\);_(* &quot;-&quot;??_);_(@_)"/>
    <numFmt numFmtId="165" formatCode="0.0000"/>
    <numFmt numFmtId="166" formatCode="0.0"/>
    <numFmt numFmtId="167" formatCode="_-* #,##0_-;\-* #,##0_-;_-* &quot;-&quot;??_-;_-@_-"/>
    <numFmt numFmtId="168" formatCode="??0.00"/>
    <numFmt numFmtId="169" formatCode="??0.00000"/>
    <numFmt numFmtId="170" formatCode="??0.0?????"/>
    <numFmt numFmtId="171" formatCode="??0.0????"/>
    <numFmt numFmtId="172" formatCode="0.00000"/>
    <numFmt numFmtId="173" formatCode="0.0000000"/>
    <numFmt numFmtId="174" formatCode="#,##0.000"/>
    <numFmt numFmtId="175" formatCode="dd\ mmmm\ yyyy"/>
    <numFmt numFmtId="176" formatCode="0.000"/>
    <numFmt numFmtId="177" formatCode="mmm\ yyyy"/>
    <numFmt numFmtId="178" formatCode="_-* #,##0_-;\-* #,##0_-;_-* &quot;-&quot;?_-;_-@_-"/>
    <numFmt numFmtId="179" formatCode="0.000%"/>
  </numFmts>
  <fonts count="47" x14ac:knownFonts="1">
    <font>
      <sz val="12"/>
      <color theme="1"/>
      <name val="Arial"/>
      <family val="2"/>
    </font>
    <font>
      <b/>
      <sz val="12"/>
      <color theme="1"/>
      <name val="Arial"/>
      <family val="2"/>
    </font>
    <font>
      <sz val="10"/>
      <color theme="1"/>
      <name val="Arial"/>
      <family val="2"/>
    </font>
    <font>
      <i/>
      <sz val="8"/>
      <name val="Aptos Narrow"/>
      <family val="2"/>
      <scheme val="minor"/>
    </font>
    <font>
      <sz val="8"/>
      <name val="Aptos Narrow"/>
      <family val="2"/>
      <scheme val="minor"/>
    </font>
    <font>
      <b/>
      <sz val="16"/>
      <name val="Aptos Narrow"/>
      <family val="2"/>
      <scheme val="minor"/>
    </font>
    <font>
      <u/>
      <sz val="11"/>
      <color indexed="12"/>
      <name val="Calibri"/>
      <family val="2"/>
    </font>
    <font>
      <u/>
      <sz val="10"/>
      <color theme="10"/>
      <name val="Calibri"/>
      <family val="2"/>
    </font>
    <font>
      <sz val="4"/>
      <color theme="1"/>
      <name val="Aptos Narrow"/>
      <family val="2"/>
      <scheme val="minor"/>
    </font>
    <font>
      <sz val="4"/>
      <color theme="1"/>
      <name val="Arial"/>
      <family val="2"/>
    </font>
    <font>
      <b/>
      <sz val="10"/>
      <color rgb="FF053D5F"/>
      <name val="Aptos Narrow"/>
      <family val="2"/>
      <scheme val="minor"/>
    </font>
    <font>
      <sz val="10"/>
      <color rgb="FF053D5F"/>
      <name val="Aptos Narrow"/>
      <family val="2"/>
      <scheme val="minor"/>
    </font>
    <font>
      <b/>
      <sz val="11"/>
      <color rgb="FF053D5F"/>
      <name val="Aptos Narrow"/>
      <family val="2"/>
      <scheme val="minor"/>
    </font>
    <font>
      <sz val="11"/>
      <color rgb="FF053D5F"/>
      <name val="Aptos Narrow"/>
      <family val="2"/>
      <scheme val="minor"/>
    </font>
    <font>
      <b/>
      <u/>
      <sz val="12"/>
      <color rgb="FF053D5F"/>
      <name val="Aptos Narrow"/>
      <family val="2"/>
      <scheme val="minor"/>
    </font>
    <font>
      <b/>
      <u/>
      <sz val="12"/>
      <color indexed="56"/>
      <name val="Calibri"/>
      <family val="2"/>
    </font>
    <font>
      <sz val="12"/>
      <color rgb="FF053D5F"/>
      <name val="Aptos Narrow"/>
      <family val="2"/>
      <scheme val="minor"/>
    </font>
    <font>
      <vertAlign val="subscript"/>
      <sz val="11"/>
      <color indexed="56"/>
      <name val="Calibri"/>
      <family val="2"/>
    </font>
    <font>
      <sz val="11"/>
      <color indexed="56"/>
      <name val="Calibri"/>
      <family val="2"/>
    </font>
    <font>
      <u/>
      <sz val="11"/>
      <color rgb="FF002060"/>
      <name val="Calibri"/>
      <family val="2"/>
    </font>
    <font>
      <sz val="11"/>
      <color rgb="FF002060"/>
      <name val="Aptos Narrow"/>
      <family val="2"/>
      <scheme val="minor"/>
    </font>
    <font>
      <sz val="11"/>
      <color theme="1"/>
      <name val="Aptos Narrow"/>
      <family val="2"/>
      <scheme val="minor"/>
    </font>
    <font>
      <i/>
      <sz val="11"/>
      <color rgb="FF053D5F"/>
      <name val="Aptos Narrow"/>
      <family val="2"/>
      <scheme val="minor"/>
    </font>
    <font>
      <b/>
      <u/>
      <sz val="12"/>
      <color rgb="FF002060"/>
      <name val="Aptos Narrow"/>
      <family val="2"/>
      <scheme val="minor"/>
    </font>
    <font>
      <sz val="11"/>
      <color theme="4" tint="-0.499984740745262"/>
      <name val="Calibri"/>
      <family val="2"/>
    </font>
    <font>
      <b/>
      <vertAlign val="subscript"/>
      <sz val="11"/>
      <color indexed="56"/>
      <name val="Calibri"/>
      <family val="2"/>
    </font>
    <font>
      <b/>
      <sz val="11"/>
      <color indexed="56"/>
      <name val="Calibri"/>
      <family val="2"/>
    </font>
    <font>
      <b/>
      <i/>
      <sz val="11"/>
      <color theme="4" tint="-0.499984740745262"/>
      <name val="Aptos Narrow"/>
      <family val="2"/>
      <scheme val="minor"/>
    </font>
    <font>
      <b/>
      <sz val="8"/>
      <name val="Tahoma"/>
      <family val="2"/>
    </font>
    <font>
      <b/>
      <sz val="9"/>
      <color indexed="81"/>
      <name val="Tahoma"/>
      <family val="2"/>
    </font>
    <font>
      <b/>
      <sz val="8"/>
      <color indexed="81"/>
      <name val="Tahoma"/>
      <family val="2"/>
    </font>
    <font>
      <sz val="9"/>
      <color indexed="81"/>
      <name val="Tahoma"/>
      <family val="2"/>
    </font>
    <font>
      <sz val="4"/>
      <color rgb="FF053D5F"/>
      <name val="Aptos Narrow"/>
      <family val="2"/>
      <scheme val="minor"/>
    </font>
    <font>
      <sz val="11"/>
      <color rgb="FFFF0000"/>
      <name val="Aptos Narrow"/>
      <family val="2"/>
      <scheme val="minor"/>
    </font>
    <font>
      <u/>
      <sz val="11"/>
      <color rgb="FF053D5F"/>
      <name val="Aptos Narrow"/>
      <family val="2"/>
      <scheme val="minor"/>
    </font>
    <font>
      <sz val="12"/>
      <color theme="1"/>
      <name val="Arial"/>
      <family val="2"/>
    </font>
    <font>
      <b/>
      <sz val="12"/>
      <color theme="0"/>
      <name val="Arial"/>
      <family val="2"/>
    </font>
    <font>
      <sz val="12"/>
      <color theme="0"/>
      <name val="Arial"/>
      <family val="2"/>
    </font>
    <font>
      <i/>
      <sz val="11"/>
      <name val="Aptos Narrow"/>
      <family val="2"/>
      <scheme val="minor"/>
    </font>
    <font>
      <sz val="11"/>
      <name val="Aptos Narrow"/>
      <family val="2"/>
      <scheme val="minor"/>
    </font>
    <font>
      <u/>
      <sz val="11"/>
      <color theme="10"/>
      <name val="Calibri"/>
      <family val="2"/>
    </font>
    <font>
      <sz val="11"/>
      <color rgb="FF053D5F"/>
      <name val="Arial"/>
      <family val="2"/>
    </font>
    <font>
      <i/>
      <sz val="10"/>
      <color rgb="FF053D5F"/>
      <name val="Aptos Narrow"/>
      <family val="2"/>
      <scheme val="minor"/>
    </font>
    <font>
      <vertAlign val="superscript"/>
      <sz val="11"/>
      <color rgb="FF053D5F"/>
      <name val="Aptos Narrow"/>
      <family val="2"/>
      <scheme val="minor"/>
    </font>
    <font>
      <sz val="11"/>
      <name val="Arial"/>
      <family val="2"/>
    </font>
    <font>
      <sz val="9"/>
      <color rgb="FF053D5F"/>
      <name val="Aptos Narrow"/>
      <family val="2"/>
      <scheme val="minor"/>
    </font>
    <font>
      <sz val="8"/>
      <name val="Arial"/>
      <family val="2"/>
    </font>
  </fonts>
  <fills count="13">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rgb="FFD9D9D9"/>
        <bgColor indexed="64"/>
      </patternFill>
    </fill>
    <fill>
      <patternFill patternType="lightGray">
        <bgColor theme="0"/>
      </patternFill>
    </fill>
    <fill>
      <patternFill patternType="solid">
        <fgColor theme="1"/>
        <bgColor theme="1"/>
      </patternFill>
    </fill>
    <fill>
      <patternFill patternType="solid">
        <fgColor rgb="FFFFFF00"/>
        <bgColor indexed="64"/>
      </patternFill>
    </fill>
    <fill>
      <patternFill patternType="gray125">
        <bgColor theme="0"/>
      </patternFill>
    </fill>
    <fill>
      <patternFill patternType="solid">
        <fgColor theme="1"/>
        <bgColor indexed="64"/>
      </patternFill>
    </fill>
    <fill>
      <patternFill patternType="solid">
        <fgColor theme="9" tint="0.59999389629810485"/>
        <bgColor indexed="64"/>
      </patternFill>
    </fill>
  </fills>
  <borders count="80">
    <border>
      <left/>
      <right/>
      <top/>
      <bottom/>
      <diagonal/>
    </border>
    <border>
      <left/>
      <right/>
      <top/>
      <bottom style="thin">
        <color indexed="64"/>
      </bottom>
      <diagonal/>
    </border>
    <border>
      <left/>
      <right/>
      <top style="thin">
        <color indexed="64"/>
      </top>
      <bottom/>
      <diagonal/>
    </border>
    <border>
      <left style="thick">
        <color rgb="FF053D5F"/>
      </left>
      <right style="thin">
        <color rgb="FF053D5F"/>
      </right>
      <top style="thick">
        <color rgb="FF053D5F"/>
      </top>
      <bottom style="thin">
        <color rgb="FF053D5F"/>
      </bottom>
      <diagonal/>
    </border>
    <border>
      <left style="thin">
        <color rgb="FF053D5F"/>
      </left>
      <right style="thick">
        <color rgb="FF053D5F"/>
      </right>
      <top style="thick">
        <color rgb="FF053D5F"/>
      </top>
      <bottom style="thin">
        <color rgb="FF053D5F"/>
      </bottom>
      <diagonal/>
    </border>
    <border>
      <left style="thick">
        <color rgb="FF053D5F"/>
      </left>
      <right style="thin">
        <color rgb="FF053D5F"/>
      </right>
      <top style="thin">
        <color rgb="FF053D5F"/>
      </top>
      <bottom style="thick">
        <color rgb="FF053D5F"/>
      </bottom>
      <diagonal/>
    </border>
    <border>
      <left style="thin">
        <color rgb="FF053D5F"/>
      </left>
      <right style="thick">
        <color rgb="FF053D5F"/>
      </right>
      <top style="thin">
        <color rgb="FF053D5F"/>
      </top>
      <bottom style="thick">
        <color rgb="FF053D5F"/>
      </bottom>
      <diagonal/>
    </border>
    <border>
      <left style="double">
        <color rgb="FF053D5F"/>
      </left>
      <right/>
      <top style="double">
        <color rgb="FF053D5F"/>
      </top>
      <bottom style="double">
        <color rgb="FF053D5F"/>
      </bottom>
      <diagonal/>
    </border>
    <border>
      <left/>
      <right/>
      <top style="double">
        <color rgb="FF053D5F"/>
      </top>
      <bottom style="double">
        <color rgb="FF053D5F"/>
      </bottom>
      <diagonal/>
    </border>
    <border>
      <left/>
      <right style="double">
        <color rgb="FF053D5F"/>
      </right>
      <top style="double">
        <color rgb="FF053D5F"/>
      </top>
      <bottom style="double">
        <color rgb="FF053D5F"/>
      </bottom>
      <diagonal/>
    </border>
    <border>
      <left style="thin">
        <color rgb="FF053D5F"/>
      </left>
      <right style="thin">
        <color rgb="FF053D5F"/>
      </right>
      <top style="thin">
        <color rgb="FF053D5F"/>
      </top>
      <bottom style="thin">
        <color rgb="FF053D5F"/>
      </bottom>
      <diagonal/>
    </border>
    <border>
      <left style="thin">
        <color indexed="64"/>
      </left>
      <right style="thin">
        <color indexed="64"/>
      </right>
      <top style="thin">
        <color indexed="64"/>
      </top>
      <bottom/>
      <diagonal/>
    </border>
    <border>
      <left style="thin">
        <color rgb="FF053D5F"/>
      </left>
      <right style="thin">
        <color rgb="FF053D5F"/>
      </right>
      <top style="thin">
        <color rgb="FF053D5F"/>
      </top>
      <bottom/>
      <diagonal/>
    </border>
    <border>
      <left style="thin">
        <color indexed="64"/>
      </left>
      <right style="thin">
        <color indexed="64"/>
      </right>
      <top/>
      <bottom/>
      <diagonal/>
    </border>
    <border>
      <left style="thin">
        <color rgb="FF053D5F"/>
      </left>
      <right style="thin">
        <color rgb="FF053D5F"/>
      </right>
      <top/>
      <bottom/>
      <diagonal/>
    </border>
    <border>
      <left style="thin">
        <color rgb="FF053D5F"/>
      </left>
      <right style="thin">
        <color rgb="FF053D5F"/>
      </right>
      <top/>
      <bottom style="thin">
        <color rgb="FF053D5F"/>
      </bottom>
      <diagonal/>
    </border>
    <border>
      <left style="thin">
        <color indexed="64"/>
      </left>
      <right style="thin">
        <color indexed="64"/>
      </right>
      <top/>
      <bottom style="thin">
        <color indexed="64"/>
      </bottom>
      <diagonal/>
    </border>
    <border>
      <left style="thin">
        <color rgb="FF053D5F"/>
      </left>
      <right/>
      <top style="thin">
        <color rgb="FF053D5F"/>
      </top>
      <bottom/>
      <diagonal/>
    </border>
    <border>
      <left style="thin">
        <color rgb="FF053D5F"/>
      </left>
      <right/>
      <top/>
      <bottom/>
      <diagonal/>
    </border>
    <border>
      <left style="thin">
        <color rgb="FF053D5F"/>
      </left>
      <right/>
      <top/>
      <bottom style="thin">
        <color rgb="FF053D5F"/>
      </bottom>
      <diagonal/>
    </border>
    <border>
      <left style="thin">
        <color indexed="64"/>
      </left>
      <right style="thin">
        <color rgb="FF053D5F"/>
      </right>
      <top style="thin">
        <color indexed="64"/>
      </top>
      <bottom style="thin">
        <color rgb="FF053D5F"/>
      </bottom>
      <diagonal/>
    </border>
    <border>
      <left style="thin">
        <color rgb="FF053D5F"/>
      </left>
      <right style="thin">
        <color rgb="FF053D5F"/>
      </right>
      <top style="thin">
        <color indexed="64"/>
      </top>
      <bottom style="thin">
        <color rgb="FF053D5F"/>
      </bottom>
      <diagonal/>
    </border>
    <border>
      <left style="thin">
        <color rgb="FF053D5F"/>
      </left>
      <right style="thin">
        <color indexed="64"/>
      </right>
      <top style="thin">
        <color indexed="64"/>
      </top>
      <bottom style="thin">
        <color rgb="FF053D5F"/>
      </bottom>
      <diagonal/>
    </border>
    <border>
      <left style="thin">
        <color indexed="64"/>
      </left>
      <right style="thin">
        <color rgb="FF053D5F"/>
      </right>
      <top style="thin">
        <color rgb="FF053D5F"/>
      </top>
      <bottom style="thin">
        <color rgb="FF053D5F"/>
      </bottom>
      <diagonal/>
    </border>
    <border>
      <left style="thin">
        <color rgb="FF053D5F"/>
      </left>
      <right style="thin">
        <color indexed="64"/>
      </right>
      <top style="thin">
        <color rgb="FF053D5F"/>
      </top>
      <bottom style="thin">
        <color rgb="FF053D5F"/>
      </bottom>
      <diagonal/>
    </border>
    <border>
      <left style="thin">
        <color indexed="64"/>
      </left>
      <right style="thin">
        <color rgb="FF053D5F"/>
      </right>
      <top style="thin">
        <color rgb="FF053D5F"/>
      </top>
      <bottom style="thin">
        <color indexed="64"/>
      </bottom>
      <diagonal/>
    </border>
    <border>
      <left style="thin">
        <color rgb="FF053D5F"/>
      </left>
      <right style="thin">
        <color rgb="FF053D5F"/>
      </right>
      <top style="thin">
        <color rgb="FF053D5F"/>
      </top>
      <bottom style="thin">
        <color indexed="64"/>
      </bottom>
      <diagonal/>
    </border>
    <border>
      <left style="thin">
        <color rgb="FF053D5F"/>
      </left>
      <right style="thin">
        <color indexed="64"/>
      </right>
      <top style="thin">
        <color rgb="FF053D5F"/>
      </top>
      <bottom style="thin">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style="double">
        <color theme="1"/>
      </top>
      <bottom style="thin">
        <color theme="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rgb="FF053D5F"/>
      </left>
      <right/>
      <top style="thick">
        <color rgb="FF053D5F"/>
      </top>
      <bottom style="thin">
        <color rgb="FF053D5F"/>
      </bottom>
      <diagonal/>
    </border>
    <border>
      <left style="thin">
        <color rgb="FF053D5F"/>
      </left>
      <right/>
      <top style="thin">
        <color rgb="FF053D5F"/>
      </top>
      <bottom style="thick">
        <color rgb="FF053D5F"/>
      </bottom>
      <diagonal/>
    </border>
    <border>
      <left style="thick">
        <color rgb="FF053D5F"/>
      </left>
      <right style="thick">
        <color rgb="FF053D5F"/>
      </right>
      <top style="thick">
        <color rgb="FF053D5F"/>
      </top>
      <bottom style="thin">
        <color rgb="FF053D5F"/>
      </bottom>
      <diagonal/>
    </border>
    <border>
      <left/>
      <right style="thick">
        <color rgb="FF053D5F"/>
      </right>
      <top style="thick">
        <color rgb="FF053D5F"/>
      </top>
      <bottom style="thin">
        <color rgb="FF053D5F"/>
      </bottom>
      <diagonal/>
    </border>
    <border>
      <left style="thick">
        <color rgb="FF053D5F"/>
      </left>
      <right style="thick">
        <color rgb="FF053D5F"/>
      </right>
      <top style="thin">
        <color rgb="FF053D5F"/>
      </top>
      <bottom style="thick">
        <color rgb="FF053D5F"/>
      </bottom>
      <diagonal/>
    </border>
    <border>
      <left/>
      <right style="thick">
        <color rgb="FF053D5F"/>
      </right>
      <top style="thin">
        <color rgb="FF053D5F"/>
      </top>
      <bottom/>
      <diagonal/>
    </border>
    <border>
      <left style="thick">
        <color rgb="FF053D5F"/>
      </left>
      <right style="thick">
        <color rgb="FF053D5F"/>
      </right>
      <top style="thin">
        <color rgb="FF053D5F"/>
      </top>
      <bottom/>
      <diagonal/>
    </border>
    <border>
      <left style="thick">
        <color rgb="FF053D5F"/>
      </left>
      <right style="thick">
        <color rgb="FF053D5F"/>
      </right>
      <top style="thick">
        <color rgb="FF053D5F"/>
      </top>
      <bottom/>
      <diagonal/>
    </border>
    <border>
      <left style="thick">
        <color rgb="FF053D5F"/>
      </left>
      <right style="thick">
        <color rgb="FF053D5F"/>
      </right>
      <top/>
      <bottom/>
      <diagonal/>
    </border>
    <border>
      <left style="thick">
        <color rgb="FF053D5F"/>
      </left>
      <right style="thick">
        <color rgb="FF053D5F"/>
      </right>
      <top style="thin">
        <color rgb="FF053D5F"/>
      </top>
      <bottom style="thin">
        <color rgb="FF053D5F"/>
      </bottom>
      <diagonal/>
    </border>
    <border>
      <left style="thick">
        <color rgb="FF053D5F"/>
      </left>
      <right style="thick">
        <color rgb="FF053D5F"/>
      </right>
      <top style="thick">
        <color rgb="FF053D5F"/>
      </top>
      <bottom style="thick">
        <color rgb="FF053D5F"/>
      </bottom>
      <diagonal/>
    </border>
    <border>
      <left style="thick">
        <color rgb="FF053D5F"/>
      </left>
      <right style="thick">
        <color rgb="FF053D5F"/>
      </right>
      <top/>
      <bottom style="thick">
        <color rgb="FF053D5F"/>
      </bottom>
      <diagonal/>
    </border>
    <border>
      <left/>
      <right style="thick">
        <color rgb="FF053D5F"/>
      </right>
      <top style="thin">
        <color rgb="FF053D5F"/>
      </top>
      <bottom style="thick">
        <color rgb="FF053D5F"/>
      </bottom>
      <diagonal/>
    </border>
    <border>
      <left style="thin">
        <color indexed="64"/>
      </left>
      <right/>
      <top style="thin">
        <color indexed="64"/>
      </top>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diagonal/>
    </border>
    <border>
      <left style="medium">
        <color indexed="64"/>
      </left>
      <right/>
      <top style="thin">
        <color theme="1"/>
      </top>
      <bottom/>
      <diagonal/>
    </border>
    <border>
      <left style="medium">
        <color indexed="64"/>
      </left>
      <right/>
      <top style="thin">
        <color theme="1"/>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theme="1"/>
      </right>
      <top style="thin">
        <color theme="1"/>
      </top>
      <bottom/>
      <diagonal/>
    </border>
    <border>
      <left style="thin">
        <color indexed="64"/>
      </left>
      <right/>
      <top style="thin">
        <color indexed="64"/>
      </top>
      <bottom style="double">
        <color indexed="64"/>
      </bottom>
      <diagonal/>
    </border>
    <border>
      <left/>
      <right/>
      <top style="double">
        <color indexed="64"/>
      </top>
      <bottom style="thin">
        <color theme="1"/>
      </bottom>
      <diagonal/>
    </border>
    <border>
      <left style="thin">
        <color theme="1"/>
      </left>
      <right style="thin">
        <color theme="1"/>
      </right>
      <top style="thin">
        <color theme="1"/>
      </top>
      <bottom style="thin">
        <color theme="1"/>
      </bottom>
      <diagonal/>
    </border>
    <border>
      <left style="medium">
        <color auto="1"/>
      </left>
      <right style="medium">
        <color auto="1"/>
      </right>
      <top/>
      <bottom style="medium">
        <color auto="1"/>
      </bottom>
      <diagonal/>
    </border>
    <border>
      <left/>
      <right style="thin">
        <color theme="1"/>
      </right>
      <top style="double">
        <color indexed="64"/>
      </top>
      <bottom style="thin">
        <color theme="1"/>
      </bottom>
      <diagonal/>
    </border>
    <border>
      <left style="thin">
        <color indexed="64"/>
      </left>
      <right style="thin">
        <color theme="1"/>
      </right>
      <top style="double">
        <color indexed="64"/>
      </top>
      <bottom style="thin">
        <color theme="1"/>
      </bottom>
      <diagonal/>
    </border>
    <border>
      <left style="thin">
        <color indexed="64"/>
      </left>
      <right style="thin">
        <color indexed="64"/>
      </right>
      <top style="double">
        <color indexed="64"/>
      </top>
      <bottom style="thin">
        <color theme="1"/>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style="thin">
        <color auto="1"/>
      </right>
      <top/>
      <bottom/>
      <diagonal/>
    </border>
    <border>
      <left style="medium">
        <color indexed="64"/>
      </left>
      <right style="thin">
        <color indexed="64"/>
      </right>
      <top style="medium">
        <color indexed="64"/>
      </top>
      <bottom style="medium">
        <color indexed="64"/>
      </bottom>
      <diagonal/>
    </border>
    <border>
      <left style="thin">
        <color auto="1"/>
      </left>
      <right style="thin">
        <color indexed="64"/>
      </right>
      <top style="medium">
        <color indexed="64"/>
      </top>
      <bottom style="medium">
        <color indexed="64"/>
      </bottom>
      <diagonal/>
    </border>
  </borders>
  <cellStyleXfs count="6">
    <xf numFmtId="0" fontId="0" fillId="0" borderId="0"/>
    <xf numFmtId="0" fontId="2" fillId="0" borderId="0"/>
    <xf numFmtId="0" fontId="6" fillId="0" borderId="0" applyNumberFormat="0" applyFill="0" applyBorder="0" applyAlignment="0" applyProtection="0">
      <alignment vertical="top"/>
      <protection locked="0"/>
    </xf>
    <xf numFmtId="164" fontId="2" fillId="0" borderId="0" applyFont="0" applyFill="0" applyBorder="0" applyAlignment="0" applyProtection="0"/>
    <xf numFmtId="164" fontId="35" fillId="0" borderId="0" applyFont="0" applyFill="0" applyBorder="0" applyAlignment="0" applyProtection="0"/>
    <xf numFmtId="9" fontId="35" fillId="0" borderId="0" applyFont="0" applyFill="0" applyBorder="0" applyAlignment="0" applyProtection="0"/>
  </cellStyleXfs>
  <cellXfs count="307">
    <xf numFmtId="0" fontId="0" fillId="0" borderId="0" xfId="0"/>
    <xf numFmtId="0" fontId="4" fillId="4" borderId="1" xfId="1" applyFont="1" applyFill="1" applyBorder="1"/>
    <xf numFmtId="0" fontId="4" fillId="3" borderId="1" xfId="1" applyFont="1" applyFill="1" applyBorder="1"/>
    <xf numFmtId="0" fontId="2" fillId="4" borderId="0" xfId="1" applyFill="1"/>
    <xf numFmtId="0" fontId="2" fillId="0" borderId="0" xfId="1"/>
    <xf numFmtId="0" fontId="7" fillId="0" borderId="0" xfId="2" applyFont="1" applyAlignment="1" applyProtection="1"/>
    <xf numFmtId="0" fontId="8" fillId="4" borderId="0" xfId="1" applyFont="1" applyFill="1"/>
    <xf numFmtId="0" fontId="9" fillId="4" borderId="0" xfId="1" applyFont="1" applyFill="1"/>
    <xf numFmtId="0" fontId="8" fillId="0" borderId="0" xfId="1" applyFont="1"/>
    <xf numFmtId="0" fontId="10" fillId="5" borderId="3" xfId="1" applyFont="1" applyFill="1" applyBorder="1" applyAlignment="1">
      <alignment horizontal="left" vertical="center" wrapText="1"/>
    </xf>
    <xf numFmtId="0" fontId="11" fillId="4" borderId="4" xfId="1" applyFont="1" applyFill="1" applyBorder="1" applyAlignment="1">
      <alignment horizontal="left" vertical="center" wrapText="1"/>
    </xf>
    <xf numFmtId="14" fontId="11" fillId="4" borderId="4" xfId="1" applyNumberFormat="1" applyFont="1" applyFill="1" applyBorder="1" applyAlignment="1">
      <alignment horizontal="left" vertical="center"/>
    </xf>
    <xf numFmtId="0" fontId="10" fillId="5" borderId="3" xfId="1" applyFont="1" applyFill="1" applyBorder="1" applyAlignment="1">
      <alignment horizontal="left" vertical="center"/>
    </xf>
    <xf numFmtId="0" fontId="10" fillId="5" borderId="5" xfId="1" applyFont="1" applyFill="1" applyBorder="1" applyAlignment="1">
      <alignment horizontal="left" vertical="center" wrapText="1"/>
    </xf>
    <xf numFmtId="0" fontId="11" fillId="4" borderId="6" xfId="1" applyFont="1" applyFill="1" applyBorder="1" applyAlignment="1">
      <alignment horizontal="left" vertical="center" wrapText="1"/>
    </xf>
    <xf numFmtId="0" fontId="10" fillId="5" borderId="5" xfId="1" applyFont="1" applyFill="1" applyBorder="1" applyAlignment="1">
      <alignment horizontal="left" vertical="center"/>
    </xf>
    <xf numFmtId="166" fontId="11" fillId="4" borderId="6" xfId="1" applyNumberFormat="1" applyFont="1" applyFill="1" applyBorder="1" applyAlignment="1">
      <alignment horizontal="left"/>
    </xf>
    <xf numFmtId="1" fontId="11" fillId="4" borderId="6" xfId="1" applyNumberFormat="1" applyFont="1" applyFill="1" applyBorder="1" applyAlignment="1">
      <alignment horizontal="left"/>
    </xf>
    <xf numFmtId="0" fontId="13" fillId="4" borderId="0" xfId="1" applyFont="1" applyFill="1" applyAlignment="1">
      <alignment wrapText="1"/>
    </xf>
    <xf numFmtId="0" fontId="12" fillId="4" borderId="0" xfId="1" applyFont="1" applyFill="1" applyAlignment="1">
      <alignment horizontal="left" vertical="top" wrapText="1"/>
    </xf>
    <xf numFmtId="0" fontId="13" fillId="4" borderId="0" xfId="1" applyFont="1" applyFill="1" applyAlignment="1">
      <alignment horizontal="left" vertical="top" wrapText="1"/>
    </xf>
    <xf numFmtId="0" fontId="13" fillId="4" borderId="0" xfId="1" applyFont="1" applyFill="1" applyAlignment="1">
      <alignment vertical="center"/>
    </xf>
    <xf numFmtId="0" fontId="20" fillId="0" borderId="10" xfId="1" applyFont="1" applyBorder="1"/>
    <xf numFmtId="0" fontId="20" fillId="6" borderId="10" xfId="1" applyFont="1" applyFill="1" applyBorder="1"/>
    <xf numFmtId="0" fontId="20" fillId="6" borderId="10" xfId="1" applyFont="1" applyFill="1" applyBorder="1" applyAlignment="1">
      <alignment horizontal="left"/>
    </xf>
    <xf numFmtId="167" fontId="21" fillId="4" borderId="0" xfId="3" applyNumberFormat="1" applyFont="1" applyFill="1"/>
    <xf numFmtId="168" fontId="20" fillId="0" borderId="10" xfId="1" applyNumberFormat="1" applyFont="1" applyBorder="1" applyAlignment="1">
      <alignment horizontal="center"/>
    </xf>
    <xf numFmtId="0" fontId="22" fillId="4" borderId="0" xfId="1" applyFont="1" applyFill="1" applyAlignment="1">
      <alignment vertical="top"/>
    </xf>
    <xf numFmtId="168" fontId="13" fillId="4" borderId="0" xfId="1" applyNumberFormat="1" applyFont="1" applyFill="1" applyAlignment="1">
      <alignment horizontal="left" vertical="top" wrapText="1"/>
    </xf>
    <xf numFmtId="169" fontId="20" fillId="0" borderId="10" xfId="1" applyNumberFormat="1" applyFont="1" applyBorder="1" applyAlignment="1">
      <alignment horizontal="center"/>
    </xf>
    <xf numFmtId="169" fontId="20" fillId="0" borderId="10" xfId="1" applyNumberFormat="1" applyFont="1" applyBorder="1" applyAlignment="1">
      <alignment horizontal="center" vertical="center"/>
    </xf>
    <xf numFmtId="0" fontId="20" fillId="4" borderId="0" xfId="1" applyFont="1" applyFill="1"/>
    <xf numFmtId="0" fontId="20" fillId="4" borderId="0" xfId="1" applyFont="1" applyFill="1" applyAlignment="1">
      <alignment horizontal="center"/>
    </xf>
    <xf numFmtId="0" fontId="20" fillId="6" borderId="10" xfId="1" applyFont="1" applyFill="1" applyBorder="1" applyAlignment="1">
      <alignment horizontal="center"/>
    </xf>
    <xf numFmtId="4" fontId="20" fillId="0" borderId="10" xfId="1" applyNumberFormat="1" applyFont="1" applyBorder="1" applyAlignment="1">
      <alignment horizontal="center"/>
    </xf>
    <xf numFmtId="0" fontId="20" fillId="6" borderId="12" xfId="1" applyFont="1" applyFill="1" applyBorder="1"/>
    <xf numFmtId="169" fontId="20" fillId="0" borderId="12" xfId="1" applyNumberFormat="1" applyFont="1" applyBorder="1" applyAlignment="1">
      <alignment horizontal="center"/>
    </xf>
    <xf numFmtId="0" fontId="20" fillId="6" borderId="20" xfId="1" applyFont="1" applyFill="1" applyBorder="1"/>
    <xf numFmtId="4" fontId="20" fillId="0" borderId="21" xfId="1" applyNumberFormat="1" applyFont="1" applyBorder="1" applyAlignment="1">
      <alignment horizontal="center"/>
    </xf>
    <xf numFmtId="4" fontId="20" fillId="0" borderId="22" xfId="1" applyNumberFormat="1" applyFont="1" applyBorder="1" applyAlignment="1">
      <alignment horizontal="center"/>
    </xf>
    <xf numFmtId="0" fontId="20" fillId="6" borderId="23" xfId="1" applyFont="1" applyFill="1" applyBorder="1"/>
    <xf numFmtId="169" fontId="20" fillId="0" borderId="24" xfId="1" applyNumberFormat="1" applyFont="1" applyBorder="1" applyAlignment="1">
      <alignment horizontal="center"/>
    </xf>
    <xf numFmtId="0" fontId="20" fillId="6" borderId="25" xfId="1" applyFont="1" applyFill="1" applyBorder="1"/>
    <xf numFmtId="169" fontId="20" fillId="0" borderId="26" xfId="1" applyNumberFormat="1" applyFont="1" applyBorder="1" applyAlignment="1">
      <alignment horizontal="center"/>
    </xf>
    <xf numFmtId="169" fontId="20" fillId="0" borderId="27" xfId="1" applyNumberFormat="1" applyFont="1" applyBorder="1" applyAlignment="1">
      <alignment horizontal="center"/>
    </xf>
    <xf numFmtId="0" fontId="20" fillId="6" borderId="15" xfId="1" applyFont="1" applyFill="1" applyBorder="1"/>
    <xf numFmtId="4" fontId="20" fillId="0" borderId="15" xfId="1" applyNumberFormat="1" applyFont="1" applyBorder="1" applyAlignment="1">
      <alignment horizontal="center"/>
    </xf>
    <xf numFmtId="0" fontId="20" fillId="7" borderId="10" xfId="1" applyFont="1" applyFill="1" applyBorder="1" applyAlignment="1">
      <alignment horizontal="center"/>
    </xf>
    <xf numFmtId="0" fontId="20" fillId="4" borderId="0" xfId="1" applyFont="1" applyFill="1" applyAlignment="1">
      <alignment horizontal="left" vertical="top"/>
    </xf>
    <xf numFmtId="0" fontId="2" fillId="4" borderId="0" xfId="1" applyFill="1" applyAlignment="1">
      <alignment horizontal="left" vertical="top"/>
    </xf>
    <xf numFmtId="0" fontId="27" fillId="4" borderId="0" xfId="1" applyFont="1" applyFill="1" applyAlignment="1">
      <alignment vertical="top"/>
    </xf>
    <xf numFmtId="0" fontId="13" fillId="4" borderId="0" xfId="1" applyFont="1" applyFill="1"/>
    <xf numFmtId="0" fontId="32" fillId="4" borderId="0" xfId="1" applyFont="1" applyFill="1"/>
    <xf numFmtId="0" fontId="13" fillId="4" borderId="0" xfId="1" applyFont="1" applyFill="1" applyAlignment="1">
      <alignment vertical="top" wrapText="1"/>
    </xf>
    <xf numFmtId="0" fontId="33" fillId="4" borderId="0" xfId="1" applyFont="1" applyFill="1"/>
    <xf numFmtId="0" fontId="14" fillId="4" borderId="0" xfId="1" applyFont="1" applyFill="1" applyAlignment="1">
      <alignment vertical="top"/>
    </xf>
    <xf numFmtId="0" fontId="13" fillId="4" borderId="0" xfId="1" applyFont="1" applyFill="1" applyAlignment="1">
      <alignment vertical="top"/>
    </xf>
    <xf numFmtId="0" fontId="20" fillId="4" borderId="0" xfId="1" applyFont="1" applyFill="1" applyAlignment="1">
      <alignment vertical="top"/>
    </xf>
    <xf numFmtId="0" fontId="20" fillId="4" borderId="0" xfId="1" applyFont="1" applyFill="1" applyAlignment="1">
      <alignment vertical="top" wrapText="1"/>
    </xf>
    <xf numFmtId="0" fontId="20" fillId="0" borderId="10" xfId="1" applyFont="1" applyBorder="1" applyAlignment="1">
      <alignment horizontal="left" wrapText="1"/>
    </xf>
    <xf numFmtId="0" fontId="20" fillId="6" borderId="10" xfId="1" applyFont="1" applyFill="1" applyBorder="1" applyAlignment="1">
      <alignment horizontal="left" wrapText="1"/>
    </xf>
    <xf numFmtId="0" fontId="20" fillId="4" borderId="10" xfId="1" applyFont="1" applyFill="1" applyBorder="1"/>
    <xf numFmtId="170" fontId="20" fillId="0" borderId="10" xfId="1" applyNumberFormat="1" applyFont="1" applyBorder="1" applyAlignment="1">
      <alignment horizontal="center"/>
    </xf>
    <xf numFmtId="170" fontId="20" fillId="4" borderId="0" xfId="1" applyNumberFormat="1" applyFont="1" applyFill="1"/>
    <xf numFmtId="0" fontId="34" fillId="4" borderId="0" xfId="1" applyFont="1" applyFill="1"/>
    <xf numFmtId="0" fontId="12" fillId="4" borderId="0" xfId="1" applyFont="1" applyFill="1"/>
    <xf numFmtId="0" fontId="22" fillId="4" borderId="0" xfId="1" applyFont="1" applyFill="1"/>
    <xf numFmtId="0" fontId="13" fillId="0" borderId="0" xfId="1" applyFont="1"/>
    <xf numFmtId="0" fontId="32" fillId="0" borderId="0" xfId="1" applyFont="1"/>
    <xf numFmtId="0" fontId="20" fillId="4" borderId="0" xfId="1" applyFont="1" applyFill="1" applyAlignment="1">
      <alignment horizontal="left" vertical="top" wrapText="1"/>
    </xf>
    <xf numFmtId="171" fontId="20" fillId="4" borderId="0" xfId="1" applyNumberFormat="1" applyFont="1" applyFill="1"/>
    <xf numFmtId="0" fontId="20" fillId="0" borderId="0" xfId="1" applyFont="1"/>
    <xf numFmtId="172" fontId="20" fillId="0" borderId="10" xfId="1" applyNumberFormat="1" applyFont="1" applyBorder="1" applyAlignment="1">
      <alignment horizontal="center"/>
    </xf>
    <xf numFmtId="172" fontId="20" fillId="4" borderId="0" xfId="1" applyNumberFormat="1" applyFont="1" applyFill="1"/>
    <xf numFmtId="0" fontId="20" fillId="4" borderId="0" xfId="1" applyFont="1" applyFill="1" applyAlignment="1">
      <alignment horizontal="left" wrapText="1"/>
    </xf>
    <xf numFmtId="0" fontId="1" fillId="0" borderId="0" xfId="0" applyFont="1"/>
    <xf numFmtId="0" fontId="0" fillId="0" borderId="31" xfId="0" applyBorder="1"/>
    <xf numFmtId="0" fontId="0" fillId="2" borderId="31" xfId="0" applyFill="1" applyBorder="1" applyProtection="1">
      <protection locked="0"/>
    </xf>
    <xf numFmtId="0" fontId="1" fillId="0" borderId="34" xfId="0" applyFont="1" applyBorder="1"/>
    <xf numFmtId="169" fontId="20" fillId="9" borderId="10" xfId="1" applyNumberFormat="1" applyFont="1" applyFill="1" applyBorder="1" applyAlignment="1">
      <alignment horizontal="center"/>
    </xf>
    <xf numFmtId="169" fontId="20" fillId="9" borderId="26" xfId="1" applyNumberFormat="1" applyFont="1" applyFill="1" applyBorder="1" applyAlignment="1">
      <alignment horizontal="center"/>
    </xf>
    <xf numFmtId="169" fontId="20" fillId="9" borderId="12" xfId="1" applyNumberFormat="1" applyFont="1" applyFill="1" applyBorder="1" applyAlignment="1">
      <alignment horizontal="center"/>
    </xf>
    <xf numFmtId="0" fontId="0" fillId="0" borderId="0" xfId="0" applyAlignment="1">
      <alignment vertical="top"/>
    </xf>
    <xf numFmtId="3" fontId="0" fillId="0" borderId="35" xfId="0" applyNumberFormat="1" applyBorder="1"/>
    <xf numFmtId="174" fontId="0" fillId="0" borderId="35" xfId="0" applyNumberFormat="1" applyBorder="1"/>
    <xf numFmtId="0" fontId="0" fillId="2" borderId="37" xfId="0" applyFill="1" applyBorder="1" applyAlignment="1" applyProtection="1">
      <alignment vertical="top" wrapText="1"/>
      <protection locked="0"/>
    </xf>
    <xf numFmtId="0" fontId="0" fillId="2" borderId="38" xfId="0" applyFill="1" applyBorder="1" applyAlignment="1" applyProtection="1">
      <alignment vertical="top" wrapText="1"/>
      <protection locked="0"/>
    </xf>
    <xf numFmtId="0" fontId="1" fillId="0" borderId="40" xfId="0" applyFont="1" applyBorder="1"/>
    <xf numFmtId="0" fontId="1" fillId="0" borderId="41" xfId="0" applyFont="1" applyBorder="1"/>
    <xf numFmtId="0" fontId="1" fillId="0" borderId="41" xfId="0" applyFont="1" applyBorder="1" applyAlignment="1">
      <alignment vertical="top" wrapText="1"/>
    </xf>
    <xf numFmtId="0" fontId="1" fillId="0" borderId="42" xfId="0" applyFont="1" applyBorder="1" applyAlignment="1">
      <alignment wrapText="1"/>
    </xf>
    <xf numFmtId="0" fontId="39" fillId="4" borderId="1" xfId="1" applyFont="1" applyFill="1" applyBorder="1"/>
    <xf numFmtId="0" fontId="39" fillId="4" borderId="1" xfId="1" applyFont="1" applyFill="1" applyBorder="1" applyAlignment="1">
      <alignment horizontal="left"/>
    </xf>
    <xf numFmtId="0" fontId="13" fillId="4" borderId="0" xfId="1" applyFont="1" applyFill="1" applyAlignment="1">
      <alignment horizontal="left"/>
    </xf>
    <xf numFmtId="0" fontId="40" fillId="0" borderId="0" xfId="2" applyFont="1" applyAlignment="1" applyProtection="1"/>
    <xf numFmtId="0" fontId="32" fillId="4" borderId="0" xfId="1" applyFont="1" applyFill="1" applyAlignment="1">
      <alignment horizontal="left"/>
    </xf>
    <xf numFmtId="0" fontId="12" fillId="5" borderId="3" xfId="1" applyFont="1" applyFill="1" applyBorder="1" applyAlignment="1">
      <alignment horizontal="left" vertical="center" wrapText="1"/>
    </xf>
    <xf numFmtId="0" fontId="13" fillId="4" borderId="43" xfId="1" applyFont="1" applyFill="1" applyBorder="1" applyAlignment="1">
      <alignment horizontal="left" vertical="center" wrapText="1"/>
    </xf>
    <xf numFmtId="0" fontId="12" fillId="5" borderId="3" xfId="1" applyFont="1" applyFill="1" applyBorder="1" applyAlignment="1">
      <alignment horizontal="left" vertical="center"/>
    </xf>
    <xf numFmtId="14" fontId="13" fillId="0" borderId="4" xfId="1" applyNumberFormat="1" applyFont="1" applyBorder="1" applyAlignment="1">
      <alignment horizontal="left" vertical="center"/>
    </xf>
    <xf numFmtId="14" fontId="13" fillId="4" borderId="4" xfId="1" applyNumberFormat="1" applyFont="1" applyFill="1" applyBorder="1" applyAlignment="1">
      <alignment horizontal="left" vertical="center"/>
    </xf>
    <xf numFmtId="0" fontId="12" fillId="5" borderId="5" xfId="1" applyFont="1" applyFill="1" applyBorder="1" applyAlignment="1">
      <alignment horizontal="left" vertical="center" wrapText="1"/>
    </xf>
    <xf numFmtId="0" fontId="13" fillId="4" borderId="44" xfId="1" applyFont="1" applyFill="1" applyBorder="1" applyAlignment="1">
      <alignment horizontal="left" vertical="center" wrapText="1"/>
    </xf>
    <xf numFmtId="0" fontId="12" fillId="5" borderId="5" xfId="1" applyFont="1" applyFill="1" applyBorder="1" applyAlignment="1">
      <alignment horizontal="left" vertical="center"/>
    </xf>
    <xf numFmtId="166" fontId="13" fillId="4" borderId="6" xfId="1" applyNumberFormat="1" applyFont="1" applyFill="1" applyBorder="1" applyAlignment="1">
      <alignment horizontal="left" vertical="center"/>
    </xf>
    <xf numFmtId="1" fontId="13" fillId="4" borderId="6" xfId="1" applyNumberFormat="1" applyFont="1" applyFill="1" applyBorder="1" applyAlignment="1">
      <alignment horizontal="left"/>
    </xf>
    <xf numFmtId="0" fontId="12" fillId="4" borderId="0" xfId="1" applyFont="1" applyFill="1" applyAlignment="1">
      <alignment horizontal="left" vertical="center" wrapText="1"/>
    </xf>
    <xf numFmtId="0" fontId="13" fillId="4" borderId="0" xfId="1" applyFont="1" applyFill="1" applyAlignment="1">
      <alignment horizontal="left" vertical="center" wrapText="1"/>
    </xf>
    <xf numFmtId="0" fontId="12" fillId="4" borderId="0" xfId="1" applyFont="1" applyFill="1" applyAlignment="1">
      <alignment horizontal="left" vertical="center"/>
    </xf>
    <xf numFmtId="166" fontId="13" fillId="4" borderId="0" xfId="1" applyNumberFormat="1" applyFont="1" applyFill="1" applyAlignment="1">
      <alignment horizontal="left" vertical="center"/>
    </xf>
    <xf numFmtId="1" fontId="13" fillId="4" borderId="0" xfId="1" applyNumberFormat="1" applyFont="1" applyFill="1" applyAlignment="1">
      <alignment horizontal="left"/>
    </xf>
    <xf numFmtId="0" fontId="12" fillId="5" borderId="45" xfId="1" applyFont="1" applyFill="1" applyBorder="1" applyAlignment="1">
      <alignment horizontal="left" vertical="center" wrapText="1"/>
    </xf>
    <xf numFmtId="0" fontId="12" fillId="5" borderId="47" xfId="1" applyFont="1" applyFill="1" applyBorder="1" applyAlignment="1">
      <alignment horizontal="left" vertical="center"/>
    </xf>
    <xf numFmtId="0" fontId="12" fillId="5" borderId="47" xfId="1" applyFont="1" applyFill="1" applyBorder="1" applyAlignment="1">
      <alignment horizontal="left" vertical="center" wrapText="1"/>
    </xf>
    <xf numFmtId="0" fontId="42" fillId="4" borderId="0" xfId="1" applyFont="1" applyFill="1" applyAlignment="1">
      <alignment horizontal="left"/>
    </xf>
    <xf numFmtId="1" fontId="13" fillId="4" borderId="45" xfId="1" applyNumberFormat="1" applyFont="1" applyFill="1" applyBorder="1" applyAlignment="1">
      <alignment horizontal="center"/>
    </xf>
    <xf numFmtId="2" fontId="13" fillId="4" borderId="45" xfId="1" applyNumberFormat="1" applyFont="1" applyFill="1" applyBorder="1" applyAlignment="1">
      <alignment horizontal="center"/>
    </xf>
    <xf numFmtId="1" fontId="13" fillId="4" borderId="52" xfId="1" applyNumberFormat="1" applyFont="1" applyFill="1" applyBorder="1" applyAlignment="1">
      <alignment horizontal="center"/>
    </xf>
    <xf numFmtId="2" fontId="13" fillId="4" borderId="52" xfId="1" applyNumberFormat="1" applyFont="1" applyFill="1" applyBorder="1" applyAlignment="1">
      <alignment horizontal="center"/>
    </xf>
    <xf numFmtId="2" fontId="13" fillId="10" borderId="52" xfId="3" applyNumberFormat="1" applyFont="1" applyFill="1" applyBorder="1" applyAlignment="1"/>
    <xf numFmtId="3" fontId="13" fillId="10" borderId="52" xfId="3" applyNumberFormat="1" applyFont="1" applyFill="1" applyBorder="1" applyAlignment="1">
      <alignment horizontal="center" vertical="center"/>
    </xf>
    <xf numFmtId="0" fontId="43" fillId="4" borderId="0" xfId="1" applyFont="1" applyFill="1" applyAlignment="1">
      <alignment horizontal="left"/>
    </xf>
    <xf numFmtId="0" fontId="12" fillId="5" borderId="50" xfId="1" applyFont="1" applyFill="1" applyBorder="1" applyAlignment="1">
      <alignment horizontal="left" vertical="center" wrapText="1"/>
    </xf>
    <xf numFmtId="0" fontId="12" fillId="5" borderId="53" xfId="1" applyFont="1" applyFill="1" applyBorder="1" applyAlignment="1">
      <alignment horizontal="left" vertical="center" wrapText="1"/>
    </xf>
    <xf numFmtId="2" fontId="13" fillId="4" borderId="47" xfId="1" applyNumberFormat="1" applyFont="1" applyFill="1" applyBorder="1" applyAlignment="1">
      <alignment horizontal="center"/>
    </xf>
    <xf numFmtId="2" fontId="13" fillId="4" borderId="55" xfId="3" applyNumberFormat="1" applyFont="1" applyFill="1" applyBorder="1" applyAlignment="1">
      <alignment horizontal="center"/>
    </xf>
    <xf numFmtId="3" fontId="13" fillId="4" borderId="55" xfId="3" applyNumberFormat="1" applyFont="1" applyFill="1" applyBorder="1" applyAlignment="1">
      <alignment horizontal="center" vertical="center"/>
    </xf>
    <xf numFmtId="1" fontId="12" fillId="4" borderId="0" xfId="1" applyNumberFormat="1" applyFont="1" applyFill="1" applyAlignment="1">
      <alignment horizontal="left" vertical="center" wrapText="1"/>
    </xf>
    <xf numFmtId="2" fontId="13" fillId="4" borderId="0" xfId="1" applyNumberFormat="1" applyFont="1" applyFill="1" applyAlignment="1">
      <alignment horizontal="center"/>
    </xf>
    <xf numFmtId="166" fontId="13" fillId="4" borderId="0" xfId="1" applyNumberFormat="1" applyFont="1" applyFill="1" applyAlignment="1">
      <alignment horizontal="center"/>
    </xf>
    <xf numFmtId="1" fontId="13" fillId="4" borderId="0" xfId="1" applyNumberFormat="1" applyFont="1" applyFill="1" applyAlignment="1">
      <alignment horizontal="center"/>
    </xf>
    <xf numFmtId="4" fontId="13" fillId="4" borderId="52" xfId="3" applyNumberFormat="1" applyFont="1" applyFill="1" applyBorder="1" applyAlignment="1">
      <alignment horizontal="center"/>
    </xf>
    <xf numFmtId="0" fontId="44" fillId="4" borderId="0" xfId="1" applyFont="1" applyFill="1"/>
    <xf numFmtId="2" fontId="13" fillId="10" borderId="52" xfId="3" applyNumberFormat="1" applyFont="1" applyFill="1" applyBorder="1"/>
    <xf numFmtId="2" fontId="13" fillId="10" borderId="49" xfId="3" applyNumberFormat="1" applyFont="1" applyFill="1" applyBorder="1"/>
    <xf numFmtId="3" fontId="13" fillId="10" borderId="49" xfId="3" applyNumberFormat="1" applyFont="1" applyFill="1" applyBorder="1" applyAlignment="1">
      <alignment horizontal="center" vertical="center"/>
    </xf>
    <xf numFmtId="1" fontId="13" fillId="4" borderId="47" xfId="1" applyNumberFormat="1" applyFont="1" applyFill="1" applyBorder="1" applyAlignment="1">
      <alignment horizontal="center"/>
    </xf>
    <xf numFmtId="165" fontId="13" fillId="4" borderId="55" xfId="3" applyNumberFormat="1" applyFont="1" applyFill="1" applyBorder="1" applyAlignment="1">
      <alignment horizontal="center"/>
    </xf>
    <xf numFmtId="2" fontId="13" fillId="10" borderId="47" xfId="1" applyNumberFormat="1" applyFont="1" applyFill="1" applyBorder="1" applyAlignment="1">
      <alignment horizontal="center"/>
    </xf>
    <xf numFmtId="1" fontId="13" fillId="4" borderId="0" xfId="1" applyNumberFormat="1" applyFont="1" applyFill="1"/>
    <xf numFmtId="167" fontId="13" fillId="4" borderId="0" xfId="3" applyNumberFormat="1" applyFont="1" applyFill="1"/>
    <xf numFmtId="0" fontId="12" fillId="9" borderId="45" xfId="1" applyFont="1" applyFill="1" applyBorder="1" applyAlignment="1">
      <alignment horizontal="left" vertical="center" wrapText="1"/>
    </xf>
    <xf numFmtId="0" fontId="12" fillId="9" borderId="49" xfId="1" applyFont="1" applyFill="1" applyBorder="1" applyAlignment="1">
      <alignment horizontal="left" vertical="center"/>
    </xf>
    <xf numFmtId="0" fontId="12" fillId="9" borderId="47" xfId="1" applyFont="1" applyFill="1" applyBorder="1" applyAlignment="1">
      <alignment horizontal="left" vertical="center" wrapText="1"/>
    </xf>
    <xf numFmtId="2" fontId="13" fillId="9" borderId="52" xfId="1" applyNumberFormat="1" applyFont="1" applyFill="1" applyBorder="1" applyAlignment="1">
      <alignment horizontal="center"/>
    </xf>
    <xf numFmtId="176" fontId="13" fillId="9" borderId="52" xfId="1" applyNumberFormat="1" applyFont="1" applyFill="1" applyBorder="1" applyAlignment="1">
      <alignment horizontal="center"/>
    </xf>
    <xf numFmtId="0" fontId="12" fillId="9" borderId="50" xfId="1" applyFont="1" applyFill="1" applyBorder="1" applyAlignment="1">
      <alignment horizontal="left" vertical="center" wrapText="1"/>
    </xf>
    <xf numFmtId="0" fontId="12" fillId="9" borderId="53" xfId="1" applyFont="1" applyFill="1" applyBorder="1" applyAlignment="1">
      <alignment horizontal="left" vertical="center" wrapText="1"/>
    </xf>
    <xf numFmtId="166" fontId="13" fillId="9" borderId="52" xfId="1" applyNumberFormat="1" applyFont="1" applyFill="1" applyBorder="1" applyAlignment="1">
      <alignment horizontal="center"/>
    </xf>
    <xf numFmtId="1" fontId="13" fillId="9" borderId="52" xfId="1" applyNumberFormat="1" applyFont="1" applyFill="1" applyBorder="1" applyAlignment="1">
      <alignment horizontal="center"/>
    </xf>
    <xf numFmtId="3" fontId="1" fillId="0" borderId="35" xfId="0" applyNumberFormat="1" applyFont="1" applyBorder="1"/>
    <xf numFmtId="3" fontId="0" fillId="0" borderId="0" xfId="0" applyNumberFormat="1"/>
    <xf numFmtId="9" fontId="0" fillId="0" borderId="0" xfId="5" applyFont="1"/>
    <xf numFmtId="174" fontId="0" fillId="0" borderId="0" xfId="0" applyNumberFormat="1"/>
    <xf numFmtId="175" fontId="0" fillId="2" borderId="58" xfId="0" applyNumberFormat="1" applyFill="1" applyBorder="1" applyAlignment="1" applyProtection="1">
      <alignment vertical="top" wrapText="1"/>
      <protection locked="0"/>
    </xf>
    <xf numFmtId="0" fontId="1" fillId="0" borderId="57" xfId="0" applyFont="1" applyBorder="1" applyAlignment="1">
      <alignment wrapText="1"/>
    </xf>
    <xf numFmtId="0" fontId="0" fillId="2" borderId="39" xfId="0" applyFill="1" applyBorder="1" applyAlignment="1" applyProtection="1">
      <alignment vertical="top"/>
      <protection locked="0"/>
    </xf>
    <xf numFmtId="0" fontId="1" fillId="0" borderId="57" xfId="0" applyFont="1" applyBorder="1" applyAlignment="1">
      <alignment vertical="top" wrapText="1"/>
    </xf>
    <xf numFmtId="0" fontId="36" fillId="8" borderId="31" xfId="0" applyFont="1" applyFill="1" applyBorder="1" applyAlignment="1">
      <alignment vertical="top" wrapText="1"/>
    </xf>
    <xf numFmtId="0" fontId="36" fillId="8" borderId="32" xfId="0" applyFont="1" applyFill="1" applyBorder="1" applyAlignment="1">
      <alignment vertical="top" wrapText="1"/>
    </xf>
    <xf numFmtId="0" fontId="36" fillId="8" borderId="33" xfId="0" applyFont="1" applyFill="1" applyBorder="1" applyAlignment="1">
      <alignment vertical="top" wrapText="1"/>
    </xf>
    <xf numFmtId="0" fontId="1" fillId="0" borderId="31" xfId="0" applyFont="1" applyBorder="1" applyAlignment="1">
      <alignment vertical="top" wrapText="1"/>
    </xf>
    <xf numFmtId="173" fontId="0" fillId="0" borderId="56" xfId="0" applyNumberFormat="1" applyBorder="1" applyAlignment="1">
      <alignment vertical="top"/>
    </xf>
    <xf numFmtId="3" fontId="0" fillId="0" borderId="56" xfId="0" applyNumberFormat="1" applyBorder="1" applyAlignment="1">
      <alignment vertical="top"/>
    </xf>
    <xf numFmtId="3" fontId="0" fillId="0" borderId="11" xfId="0" applyNumberFormat="1" applyBorder="1" applyAlignment="1">
      <alignment vertical="top"/>
    </xf>
    <xf numFmtId="0" fontId="1" fillId="0" borderId="31" xfId="0" applyFont="1" applyBorder="1"/>
    <xf numFmtId="173" fontId="0" fillId="0" borderId="56" xfId="0" applyNumberFormat="1" applyBorder="1"/>
    <xf numFmtId="167" fontId="0" fillId="0" borderId="0" xfId="4" applyNumberFormat="1" applyFont="1"/>
    <xf numFmtId="0" fontId="12" fillId="9" borderId="46" xfId="1" applyFont="1" applyFill="1" applyBorder="1" applyAlignment="1">
      <alignment horizontal="left" vertical="center" wrapText="1"/>
    </xf>
    <xf numFmtId="0" fontId="12" fillId="9" borderId="48" xfId="1" applyFont="1" applyFill="1" applyBorder="1" applyAlignment="1">
      <alignment horizontal="left" vertical="center"/>
    </xf>
    <xf numFmtId="0" fontId="0" fillId="0" borderId="59" xfId="0" applyBorder="1" applyAlignment="1">
      <alignment vertical="top" wrapText="1"/>
    </xf>
    <xf numFmtId="0" fontId="0" fillId="11" borderId="60" xfId="0" applyFill="1" applyBorder="1"/>
    <xf numFmtId="0" fontId="0" fillId="0" borderId="59" xfId="0" applyBorder="1"/>
    <xf numFmtId="0" fontId="0" fillId="11" borderId="61" xfId="0" applyFill="1" applyBorder="1"/>
    <xf numFmtId="0" fontId="0" fillId="0" borderId="36" xfId="0" applyBorder="1" applyAlignment="1">
      <alignment vertical="top" wrapText="1"/>
    </xf>
    <xf numFmtId="0" fontId="0" fillId="0" borderId="63" xfId="0" applyBorder="1" applyAlignment="1">
      <alignment vertical="top" wrapText="1"/>
    </xf>
    <xf numFmtId="0" fontId="0" fillId="0" borderId="63" xfId="0" applyBorder="1" applyAlignment="1">
      <alignment vertical="top"/>
    </xf>
    <xf numFmtId="0" fontId="0" fillId="0" borderId="64" xfId="0" applyBorder="1" applyAlignment="1">
      <alignment vertical="top"/>
    </xf>
    <xf numFmtId="0" fontId="0" fillId="2" borderId="62" xfId="0" applyFill="1" applyBorder="1" applyProtection="1">
      <protection locked="0"/>
    </xf>
    <xf numFmtId="174" fontId="0" fillId="2" borderId="62" xfId="0" applyNumberFormat="1" applyFill="1" applyBorder="1" applyProtection="1">
      <protection locked="0"/>
    </xf>
    <xf numFmtId="0" fontId="0" fillId="2" borderId="56" xfId="0" applyFill="1" applyBorder="1" applyProtection="1">
      <protection locked="0"/>
    </xf>
    <xf numFmtId="174" fontId="0" fillId="2" borderId="56" xfId="0" applyNumberFormat="1" applyFill="1" applyBorder="1" applyProtection="1">
      <protection locked="0"/>
    </xf>
    <xf numFmtId="0" fontId="0" fillId="2" borderId="65" xfId="0" applyFill="1" applyBorder="1" applyProtection="1">
      <protection locked="0"/>
    </xf>
    <xf numFmtId="174" fontId="0" fillId="2" borderId="65" xfId="0" applyNumberFormat="1" applyFill="1" applyBorder="1" applyProtection="1">
      <protection locked="0"/>
    </xf>
    <xf numFmtId="0" fontId="0" fillId="2" borderId="60" xfId="0" applyFill="1" applyBorder="1" applyProtection="1">
      <protection locked="0"/>
    </xf>
    <xf numFmtId="174" fontId="0" fillId="2" borderId="60" xfId="0" applyNumberFormat="1" applyFill="1" applyBorder="1" applyProtection="1">
      <protection locked="0"/>
    </xf>
    <xf numFmtId="3" fontId="0" fillId="2" borderId="56" xfId="0" applyNumberFormat="1" applyFill="1" applyBorder="1" applyAlignment="1" applyProtection="1">
      <alignment vertical="top"/>
      <protection locked="0"/>
    </xf>
    <xf numFmtId="3" fontId="0" fillId="2" borderId="56" xfId="0" applyNumberFormat="1" applyFill="1" applyBorder="1" applyProtection="1">
      <protection locked="0"/>
    </xf>
    <xf numFmtId="173" fontId="0" fillId="2" borderId="56" xfId="0" applyNumberFormat="1" applyFill="1" applyBorder="1" applyProtection="1">
      <protection locked="0"/>
    </xf>
    <xf numFmtId="178" fontId="0" fillId="0" borderId="0" xfId="0" applyNumberFormat="1"/>
    <xf numFmtId="167" fontId="0" fillId="0" borderId="0" xfId="0" applyNumberFormat="1"/>
    <xf numFmtId="0" fontId="37" fillId="0" borderId="0" xfId="0" applyFont="1"/>
    <xf numFmtId="0" fontId="1" fillId="0" borderId="59" xfId="0" applyFont="1" applyBorder="1"/>
    <xf numFmtId="0" fontId="1" fillId="0" borderId="60" xfId="0" applyFont="1" applyBorder="1"/>
    <xf numFmtId="0" fontId="36" fillId="8" borderId="66" xfId="0" applyFont="1" applyFill="1" applyBorder="1" applyAlignment="1">
      <alignment vertical="top" wrapText="1"/>
    </xf>
    <xf numFmtId="3" fontId="0" fillId="2" borderId="35" xfId="0" applyNumberFormat="1" applyFill="1" applyBorder="1" applyProtection="1">
      <protection locked="0"/>
    </xf>
    <xf numFmtId="3" fontId="0" fillId="12" borderId="35" xfId="0" applyNumberFormat="1" applyFill="1" applyBorder="1" applyProtection="1">
      <protection locked="0"/>
    </xf>
    <xf numFmtId="3" fontId="0" fillId="12" borderId="66" xfId="0" applyNumberFormat="1" applyFill="1" applyBorder="1" applyProtection="1">
      <protection locked="0"/>
    </xf>
    <xf numFmtId="3" fontId="0" fillId="12" borderId="41" xfId="0" applyNumberFormat="1" applyFill="1" applyBorder="1" applyProtection="1">
      <protection locked="0"/>
    </xf>
    <xf numFmtId="3" fontId="0" fillId="12" borderId="42" xfId="0" applyNumberFormat="1" applyFill="1" applyBorder="1" applyProtection="1">
      <protection locked="0"/>
    </xf>
    <xf numFmtId="3" fontId="1" fillId="0" borderId="0" xfId="0" applyNumberFormat="1" applyFont="1"/>
    <xf numFmtId="177" fontId="0" fillId="0" borderId="31" xfId="0" applyNumberFormat="1" applyBorder="1"/>
    <xf numFmtId="3" fontId="1" fillId="0" borderId="69" xfId="0" applyNumberFormat="1" applyFont="1" applyBorder="1"/>
    <xf numFmtId="3" fontId="0" fillId="0" borderId="67" xfId="0" applyNumberFormat="1" applyBorder="1"/>
    <xf numFmtId="3" fontId="0" fillId="0" borderId="70" xfId="0" applyNumberFormat="1" applyBorder="1"/>
    <xf numFmtId="0" fontId="36" fillId="8" borderId="0" xfId="0" applyFont="1" applyFill="1" applyAlignment="1">
      <alignment vertical="top" wrapText="1"/>
    </xf>
    <xf numFmtId="174" fontId="0" fillId="0" borderId="71" xfId="0" applyNumberFormat="1" applyBorder="1"/>
    <xf numFmtId="14" fontId="0" fillId="0" borderId="31" xfId="0" applyNumberFormat="1" applyBorder="1"/>
    <xf numFmtId="3" fontId="1" fillId="0" borderId="72" xfId="0" applyNumberFormat="1" applyFont="1" applyBorder="1"/>
    <xf numFmtId="0" fontId="0" fillId="0" borderId="0" xfId="0" applyAlignment="1">
      <alignment horizontal="left"/>
    </xf>
    <xf numFmtId="173" fontId="0" fillId="0" borderId="0" xfId="0" applyNumberFormat="1" applyAlignment="1">
      <alignment horizontal="left"/>
    </xf>
    <xf numFmtId="3" fontId="1" fillId="0" borderId="74" xfId="0" applyNumberFormat="1" applyFont="1" applyBorder="1"/>
    <xf numFmtId="0" fontId="1" fillId="0" borderId="74" xfId="0" applyFont="1" applyBorder="1"/>
    <xf numFmtId="3" fontId="1" fillId="0" borderId="73" xfId="0" applyNumberFormat="1" applyFont="1" applyBorder="1"/>
    <xf numFmtId="166" fontId="0" fillId="0" borderId="56" xfId="0" applyNumberFormat="1" applyBorder="1" applyAlignment="1">
      <alignment vertical="top"/>
    </xf>
    <xf numFmtId="166" fontId="0" fillId="0" borderId="56" xfId="0" applyNumberFormat="1" applyBorder="1"/>
    <xf numFmtId="3" fontId="0" fillId="2" borderId="68" xfId="0" applyNumberFormat="1" applyFill="1" applyBorder="1" applyProtection="1">
      <protection locked="0"/>
    </xf>
    <xf numFmtId="0" fontId="36" fillId="8" borderId="32" xfId="0" applyFont="1" applyFill="1" applyBorder="1"/>
    <xf numFmtId="14" fontId="0" fillId="0" borderId="0" xfId="0" applyNumberFormat="1"/>
    <xf numFmtId="175" fontId="0" fillId="2" borderId="38" xfId="0" applyNumberFormat="1" applyFill="1" applyBorder="1" applyAlignment="1" applyProtection="1">
      <alignment horizontal="left" vertical="top" wrapText="1"/>
      <protection locked="0"/>
    </xf>
    <xf numFmtId="179" fontId="35" fillId="0" borderId="0" xfId="5" applyNumberFormat="1" applyFont="1"/>
    <xf numFmtId="0" fontId="0" fillId="0" borderId="77" xfId="0" applyBorder="1"/>
    <xf numFmtId="179" fontId="35" fillId="0" borderId="13" xfId="5" applyNumberFormat="1" applyFont="1" applyBorder="1"/>
    <xf numFmtId="179" fontId="35" fillId="0" borderId="13" xfId="5" applyNumberFormat="1" applyFont="1" applyFill="1" applyBorder="1"/>
    <xf numFmtId="0" fontId="1" fillId="0" borderId="78" xfId="0" applyFont="1" applyBorder="1"/>
    <xf numFmtId="179" fontId="1" fillId="0" borderId="79" xfId="5" applyNumberFormat="1" applyFont="1" applyFill="1" applyBorder="1"/>
    <xf numFmtId="179" fontId="1" fillId="0" borderId="76" xfId="5" applyNumberFormat="1" applyFont="1" applyBorder="1"/>
    <xf numFmtId="1" fontId="0" fillId="0" borderId="0" xfId="0" applyNumberFormat="1" applyAlignment="1">
      <alignment horizontal="left"/>
    </xf>
    <xf numFmtId="179" fontId="0" fillId="0" borderId="0" xfId="0" applyNumberFormat="1"/>
    <xf numFmtId="9" fontId="0" fillId="0" borderId="75" xfId="5" applyFont="1" applyBorder="1" applyProtection="1">
      <protection hidden="1"/>
    </xf>
    <xf numFmtId="0" fontId="36" fillId="0" borderId="0" xfId="0" applyFont="1" applyAlignment="1">
      <alignment vertical="top" wrapText="1"/>
    </xf>
    <xf numFmtId="0" fontId="0" fillId="0" borderId="75" xfId="0" applyBorder="1"/>
    <xf numFmtId="179" fontId="0" fillId="2" borderId="0" xfId="5" applyNumberFormat="1" applyFont="1" applyFill="1" applyProtection="1">
      <protection locked="0"/>
    </xf>
    <xf numFmtId="3" fontId="0" fillId="0" borderId="75" xfId="0" applyNumberFormat="1" applyBorder="1"/>
    <xf numFmtId="3" fontId="0" fillId="2" borderId="11" xfId="0" applyNumberFormat="1" applyFill="1" applyBorder="1" applyProtection="1">
      <protection locked="0"/>
    </xf>
    <xf numFmtId="0" fontId="36" fillId="8" borderId="32" xfId="0" applyFont="1" applyFill="1" applyBorder="1" applyAlignment="1" applyProtection="1">
      <alignment vertical="top" wrapText="1"/>
      <protection locked="0"/>
    </xf>
    <xf numFmtId="173" fontId="1" fillId="0" borderId="0" xfId="0" applyNumberFormat="1" applyFont="1" applyAlignment="1">
      <alignment horizontal="left"/>
    </xf>
    <xf numFmtId="14" fontId="1" fillId="0" borderId="0" xfId="0" applyNumberFormat="1" applyFont="1" applyAlignment="1">
      <alignment horizontal="left"/>
    </xf>
    <xf numFmtId="0" fontId="1" fillId="0" borderId="0" xfId="0" applyFont="1" applyAlignment="1">
      <alignment horizontal="left"/>
    </xf>
    <xf numFmtId="0" fontId="13" fillId="4" borderId="0" xfId="1" applyFont="1" applyFill="1" applyAlignment="1">
      <alignment horizontal="left" vertical="top" wrapText="1"/>
    </xf>
    <xf numFmtId="49" fontId="3" fillId="3" borderId="1" xfId="1" applyNumberFormat="1" applyFont="1" applyFill="1" applyBorder="1" applyAlignment="1">
      <alignment horizontal="left"/>
    </xf>
    <xf numFmtId="0" fontId="5" fillId="4" borderId="2" xfId="1" applyFont="1" applyFill="1" applyBorder="1"/>
    <xf numFmtId="0" fontId="12" fillId="4" borderId="7" xfId="1" applyFont="1" applyFill="1" applyBorder="1" applyAlignment="1">
      <alignment horizontal="left" vertical="top" wrapText="1"/>
    </xf>
    <xf numFmtId="0" fontId="12" fillId="4" borderId="8" xfId="1" applyFont="1" applyFill="1" applyBorder="1" applyAlignment="1">
      <alignment horizontal="left" vertical="top" wrapText="1"/>
    </xf>
    <xf numFmtId="0" fontId="12" fillId="4" borderId="9" xfId="1" applyFont="1" applyFill="1" applyBorder="1" applyAlignment="1">
      <alignment horizontal="left" vertical="top" wrapText="1"/>
    </xf>
    <xf numFmtId="0" fontId="14" fillId="4" borderId="0" xfId="1" applyFont="1" applyFill="1" applyAlignment="1">
      <alignment horizontal="left" vertical="top" wrapText="1"/>
    </xf>
    <xf numFmtId="0" fontId="2" fillId="4" borderId="0" xfId="1" applyFill="1"/>
    <xf numFmtId="0" fontId="2" fillId="0" borderId="0" xfId="1"/>
    <xf numFmtId="0" fontId="15" fillId="4" borderId="0" xfId="1" applyFont="1" applyFill="1" applyAlignment="1">
      <alignment horizontal="left" vertical="top" wrapText="1"/>
    </xf>
    <xf numFmtId="0" fontId="16" fillId="4" borderId="0" xfId="1" applyFont="1" applyFill="1" applyAlignment="1">
      <alignment horizontal="left" vertical="top" wrapText="1"/>
    </xf>
    <xf numFmtId="0" fontId="19" fillId="4" borderId="0" xfId="2" applyNumberFormat="1" applyFont="1" applyFill="1" applyBorder="1" applyAlignment="1" applyProtection="1">
      <alignment horizontal="left" vertical="top" wrapText="1"/>
    </xf>
    <xf numFmtId="0" fontId="20" fillId="9" borderId="12" xfId="1" applyFont="1" applyFill="1" applyBorder="1" applyAlignment="1">
      <alignment vertical="center"/>
    </xf>
    <xf numFmtId="0" fontId="20" fillId="9" borderId="14" xfId="1" applyFont="1" applyFill="1" applyBorder="1" applyAlignment="1">
      <alignment vertical="center"/>
    </xf>
    <xf numFmtId="0" fontId="20" fillId="9" borderId="15" xfId="1" applyFont="1" applyFill="1" applyBorder="1" applyAlignment="1">
      <alignment vertical="center"/>
    </xf>
    <xf numFmtId="0" fontId="20" fillId="6" borderId="12" xfId="1" applyFont="1" applyFill="1" applyBorder="1" applyAlignment="1">
      <alignment vertical="center"/>
    </xf>
    <xf numFmtId="0" fontId="20" fillId="6" borderId="14" xfId="1" applyFont="1" applyFill="1" applyBorder="1" applyAlignment="1">
      <alignment vertical="center"/>
    </xf>
    <xf numFmtId="0" fontId="20" fillId="6" borderId="15" xfId="1" applyFont="1" applyFill="1" applyBorder="1" applyAlignment="1">
      <alignment vertical="center"/>
    </xf>
    <xf numFmtId="0" fontId="20" fillId="6" borderId="12" xfId="1" applyFont="1" applyFill="1" applyBorder="1" applyAlignment="1">
      <alignment horizontal="center" vertical="center"/>
    </xf>
    <xf numFmtId="0" fontId="20" fillId="6" borderId="14" xfId="1" applyFont="1" applyFill="1" applyBorder="1" applyAlignment="1">
      <alignment horizontal="center" vertical="center"/>
    </xf>
    <xf numFmtId="0" fontId="20" fillId="6" borderId="15" xfId="1" applyFont="1" applyFill="1" applyBorder="1" applyAlignment="1">
      <alignment horizontal="center" vertical="center"/>
    </xf>
    <xf numFmtId="0" fontId="20" fillId="9" borderId="12" xfId="1" applyFont="1" applyFill="1" applyBorder="1" applyAlignment="1">
      <alignment vertical="center" wrapText="1"/>
    </xf>
    <xf numFmtId="0" fontId="20" fillId="9" borderId="14" xfId="1" applyFont="1" applyFill="1" applyBorder="1" applyAlignment="1">
      <alignment vertical="center" wrapText="1"/>
    </xf>
    <xf numFmtId="0" fontId="20" fillId="9" borderId="15" xfId="1" applyFont="1" applyFill="1" applyBorder="1" applyAlignment="1">
      <alignment vertical="center" wrapText="1"/>
    </xf>
    <xf numFmtId="0" fontId="20" fillId="6" borderId="12" xfId="1" applyFont="1" applyFill="1" applyBorder="1" applyAlignment="1">
      <alignment vertical="center" wrapText="1"/>
    </xf>
    <xf numFmtId="0" fontId="20" fillId="6" borderId="14" xfId="1" applyFont="1" applyFill="1" applyBorder="1" applyAlignment="1">
      <alignment vertical="center" wrapText="1"/>
    </xf>
    <xf numFmtId="0" fontId="20" fillId="6" borderId="15" xfId="1" applyFont="1" applyFill="1" applyBorder="1" applyAlignment="1">
      <alignment vertical="center" wrapText="1"/>
    </xf>
    <xf numFmtId="0" fontId="20" fillId="6" borderId="11" xfId="1" applyFont="1" applyFill="1" applyBorder="1" applyAlignment="1">
      <alignment vertical="center"/>
    </xf>
    <xf numFmtId="0" fontId="20" fillId="6" borderId="13" xfId="1" applyFont="1" applyFill="1" applyBorder="1" applyAlignment="1">
      <alignment vertical="center"/>
    </xf>
    <xf numFmtId="0" fontId="20" fillId="6" borderId="16" xfId="1" applyFont="1" applyFill="1" applyBorder="1" applyAlignment="1">
      <alignment vertical="center"/>
    </xf>
    <xf numFmtId="0" fontId="20" fillId="6" borderId="17" xfId="1" applyFont="1" applyFill="1" applyBorder="1" applyAlignment="1">
      <alignment vertical="center" wrapText="1"/>
    </xf>
    <xf numFmtId="0" fontId="20" fillId="6" borderId="18" xfId="1" applyFont="1" applyFill="1" applyBorder="1" applyAlignment="1">
      <alignment vertical="center" wrapText="1"/>
    </xf>
    <xf numFmtId="0" fontId="20" fillId="6" borderId="19" xfId="1" applyFont="1" applyFill="1" applyBorder="1" applyAlignment="1">
      <alignment vertical="center" wrapText="1"/>
    </xf>
    <xf numFmtId="0" fontId="20" fillId="9" borderId="17" xfId="1" applyFont="1" applyFill="1" applyBorder="1" applyAlignment="1">
      <alignment vertical="center" wrapText="1"/>
    </xf>
    <xf numFmtId="0" fontId="20" fillId="9" borderId="18" xfId="1" applyFont="1" applyFill="1" applyBorder="1" applyAlignment="1">
      <alignment vertical="center" wrapText="1"/>
    </xf>
    <xf numFmtId="0" fontId="20" fillId="9" borderId="19" xfId="1" applyFont="1" applyFill="1" applyBorder="1" applyAlignment="1">
      <alignment vertical="center" wrapText="1"/>
    </xf>
    <xf numFmtId="0" fontId="20" fillId="9" borderId="12" xfId="1" applyFont="1" applyFill="1" applyBorder="1" applyAlignment="1">
      <alignment horizontal="left" vertical="center" wrapText="1"/>
    </xf>
    <xf numFmtId="0" fontId="20" fillId="9" borderId="14" xfId="1" applyFont="1" applyFill="1" applyBorder="1" applyAlignment="1">
      <alignment horizontal="left" vertical="center" wrapText="1"/>
    </xf>
    <xf numFmtId="0" fontId="20" fillId="9" borderId="15" xfId="1" applyFont="1" applyFill="1" applyBorder="1" applyAlignment="1">
      <alignment horizontal="left" vertical="center" wrapText="1"/>
    </xf>
    <xf numFmtId="0" fontId="20" fillId="6" borderId="12" xfId="1" applyFont="1" applyFill="1" applyBorder="1" applyAlignment="1">
      <alignment horizontal="left" vertical="center" wrapText="1"/>
    </xf>
    <xf numFmtId="0" fontId="20" fillId="6" borderId="14" xfId="1" applyFont="1" applyFill="1" applyBorder="1" applyAlignment="1">
      <alignment horizontal="left" vertical="center" wrapText="1"/>
    </xf>
    <xf numFmtId="0" fontId="20" fillId="6" borderId="15" xfId="1" applyFont="1" applyFill="1" applyBorder="1" applyAlignment="1">
      <alignment horizontal="left" vertical="center" wrapText="1"/>
    </xf>
    <xf numFmtId="0" fontId="27" fillId="4" borderId="0" xfId="1" applyFont="1" applyFill="1" applyAlignment="1">
      <alignment vertical="top"/>
    </xf>
    <xf numFmtId="0" fontId="23" fillId="4" borderId="0" xfId="1" applyFont="1" applyFill="1" applyAlignment="1">
      <alignment horizontal="left" vertical="top" wrapText="1"/>
    </xf>
    <xf numFmtId="0" fontId="12" fillId="4" borderId="0" xfId="1" applyFont="1" applyFill="1" applyAlignment="1">
      <alignment horizontal="left" vertical="top" wrapText="1"/>
    </xf>
    <xf numFmtId="0" fontId="24" fillId="4" borderId="0" xfId="1" applyFont="1" applyFill="1" applyAlignment="1">
      <alignment horizontal="left" vertical="top" wrapText="1"/>
    </xf>
    <xf numFmtId="0" fontId="13" fillId="4" borderId="50" xfId="1" applyFont="1" applyFill="1" applyBorder="1" applyAlignment="1">
      <alignment horizontal="center" vertical="center" textRotation="90" wrapText="1"/>
    </xf>
    <xf numFmtId="0" fontId="13" fillId="4" borderId="51" xfId="1" applyFont="1" applyFill="1" applyBorder="1" applyAlignment="1">
      <alignment horizontal="center" vertical="center" textRotation="90" wrapText="1"/>
    </xf>
    <xf numFmtId="0" fontId="13" fillId="4" borderId="54" xfId="1" applyFont="1" applyFill="1" applyBorder="1" applyAlignment="1">
      <alignment horizontal="center" vertical="center" textRotation="90" wrapText="1"/>
    </xf>
    <xf numFmtId="0" fontId="41" fillId="4" borderId="0" xfId="1" applyFont="1" applyFill="1" applyAlignment="1">
      <alignment horizontal="center" vertical="center" wrapText="1"/>
    </xf>
    <xf numFmtId="0" fontId="45" fillId="4" borderId="0" xfId="1" applyFont="1" applyFill="1" applyAlignment="1">
      <alignment horizontal="left"/>
    </xf>
    <xf numFmtId="49" fontId="38" fillId="3" borderId="1" xfId="1" applyNumberFormat="1" applyFont="1" applyFill="1" applyBorder="1" applyAlignment="1">
      <alignment horizontal="left"/>
    </xf>
    <xf numFmtId="0" fontId="12" fillId="4" borderId="7" xfId="1" applyFont="1" applyFill="1" applyBorder="1" applyAlignment="1">
      <alignment horizontal="left" wrapText="1"/>
    </xf>
    <xf numFmtId="0" fontId="12" fillId="4" borderId="8" xfId="1" applyFont="1" applyFill="1" applyBorder="1" applyAlignment="1">
      <alignment horizontal="left" wrapText="1"/>
    </xf>
    <xf numFmtId="0" fontId="12" fillId="4" borderId="9" xfId="1" applyFont="1" applyFill="1" applyBorder="1" applyAlignment="1">
      <alignment horizontal="left" wrapText="1"/>
    </xf>
    <xf numFmtId="0" fontId="20" fillId="4" borderId="0" xfId="1" applyFont="1" applyFill="1" applyAlignment="1">
      <alignment vertical="top" wrapText="1"/>
    </xf>
    <xf numFmtId="0" fontId="12" fillId="0" borderId="28" xfId="1" applyFont="1" applyBorder="1" applyAlignment="1">
      <alignment vertical="top" wrapText="1"/>
    </xf>
    <xf numFmtId="0" fontId="12" fillId="0" borderId="29" xfId="1" applyFont="1" applyBorder="1" applyAlignment="1">
      <alignment vertical="top" wrapText="1"/>
    </xf>
    <xf numFmtId="0" fontId="12" fillId="0" borderId="30" xfId="1" applyFont="1" applyBorder="1" applyAlignment="1">
      <alignment vertical="top" wrapText="1"/>
    </xf>
    <xf numFmtId="0" fontId="13" fillId="4" borderId="0" xfId="1" applyFont="1" applyFill="1" applyAlignment="1">
      <alignment vertical="top" wrapText="1"/>
    </xf>
    <xf numFmtId="0" fontId="13" fillId="0" borderId="0" xfId="1" applyFont="1" applyAlignment="1">
      <alignment vertical="top" wrapText="1"/>
    </xf>
    <xf numFmtId="0" fontId="14" fillId="4" borderId="0" xfId="1" applyFont="1" applyFill="1" applyAlignment="1">
      <alignment vertical="top" wrapText="1"/>
    </xf>
    <xf numFmtId="0" fontId="12" fillId="4" borderId="0" xfId="1" applyFont="1" applyFill="1" applyAlignment="1">
      <alignment vertical="top" wrapText="1"/>
    </xf>
    <xf numFmtId="0" fontId="12" fillId="0" borderId="28" xfId="1" applyFont="1" applyBorder="1" applyAlignment="1">
      <alignment horizontal="left" vertical="top" wrapText="1"/>
    </xf>
    <xf numFmtId="0" fontId="12" fillId="0" borderId="29" xfId="1" applyFont="1" applyBorder="1" applyAlignment="1">
      <alignment horizontal="left" vertical="top" wrapText="1"/>
    </xf>
    <xf numFmtId="0" fontId="12" fillId="0" borderId="30" xfId="1" applyFont="1" applyBorder="1" applyAlignment="1">
      <alignment horizontal="left" vertical="top" wrapText="1"/>
    </xf>
    <xf numFmtId="0" fontId="13" fillId="0" borderId="0" xfId="1" applyFont="1" applyAlignment="1">
      <alignment horizontal="left" vertical="top" wrapText="1"/>
    </xf>
    <xf numFmtId="0" fontId="6" fillId="4" borderId="0" xfId="2" applyFill="1" applyAlignment="1" applyProtection="1">
      <alignment horizontal="left" vertical="top" wrapText="1"/>
    </xf>
  </cellXfs>
  <cellStyles count="6">
    <cellStyle name="Comma" xfId="4" builtinId="3"/>
    <cellStyle name="Comma 2" xfId="3" xr:uid="{86D63B58-E8C0-444F-B328-60D4BC659536}"/>
    <cellStyle name="Hyperlink 2" xfId="2" xr:uid="{E8876EAB-0675-4794-A3D7-CE0400FC4C89}"/>
    <cellStyle name="Normal" xfId="0" builtinId="0"/>
    <cellStyle name="Normal 2" xfId="1" xr:uid="{B36E5BA3-A965-490F-922C-09ECDEEA60A0}"/>
    <cellStyle name="Percent" xfId="5" builtinId="5"/>
  </cellStyles>
  <dxfs count="17">
    <dxf>
      <fill>
        <patternFill>
          <bgColor rgb="FFFFC000"/>
        </patternFill>
      </fill>
    </dxf>
    <dxf>
      <fill>
        <patternFill>
          <bgColor rgb="FFFFC000"/>
        </patternFill>
      </fill>
    </dxf>
    <dxf>
      <fill>
        <patternFill>
          <bgColor rgb="FFFFC000"/>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ill>
        <patternFill patternType="lightTrellis"/>
      </fill>
    </dxf>
    <dxf>
      <fill>
        <patternFill patternType="lightTrellis"/>
      </fill>
    </dxf>
    <dxf>
      <fill>
        <patternFill patternType="lightTrellis"/>
      </fill>
    </dxf>
    <dxf>
      <fill>
        <patternFill>
          <bgColor rgb="FFFFC000"/>
        </patternFill>
      </fill>
    </dxf>
    <dxf>
      <numFmt numFmtId="173" formatCode="0.0000000"/>
      <alignment horizontal="left" vertical="bottom" textRotation="0" wrapText="0" indent="0" justifyLastLine="0" shrinkToFit="0" readingOrder="0"/>
    </dxf>
    <dxf>
      <numFmt numFmtId="179" formatCode="0.000%"/>
      <fill>
        <patternFill patternType="solid">
          <fgColor indexed="64"/>
          <bgColor theme="9" tint="0.79998168889431442"/>
        </patternFill>
      </fill>
      <protection locked="0" hidden="0"/>
    </dxf>
    <dxf>
      <border diagonalUp="0" diagonalDown="0">
        <left/>
        <right style="thin">
          <color auto="1"/>
        </right>
        <top/>
        <bottom/>
        <vertical/>
        <horizontal/>
      </border>
    </dxf>
    <dxf>
      <font>
        <b val="0"/>
      </font>
      <numFmt numFmtId="179" formatCode="0.000%"/>
    </dxf>
    <dxf>
      <font>
        <b val="0"/>
      </font>
      <numFmt numFmtId="179" formatCode="0.000%"/>
      <border diagonalUp="0" diagonalDown="0">
        <left style="thin">
          <color auto="1"/>
        </left>
        <right style="thin">
          <color indexed="64"/>
        </right>
        <vertical/>
      </border>
    </dxf>
    <dxf>
      <font>
        <b val="0"/>
      </font>
      <border diagonalUp="0" diagonalDown="0">
        <right style="thin">
          <color indexed="64"/>
        </right>
        <vertical/>
      </border>
    </dxf>
    <dxf>
      <font>
        <b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Facility</a:t>
            </a:r>
            <a:r>
              <a:rPr lang="en-GB" baseline="0"/>
              <a:t> i</a:t>
            </a:r>
            <a:r>
              <a:rPr lang="en-GB"/>
              <a:t>mprovement</a:t>
            </a:r>
            <a:r>
              <a:rPr lang="en-GB" baseline="0"/>
              <a:t> targets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scatterChart>
        <c:scatterStyle val="lineMarker"/>
        <c:varyColors val="0"/>
        <c:ser>
          <c:idx val="0"/>
          <c:order val="0"/>
          <c:tx>
            <c:strRef>
              <c:f>'Facility targets'!$B$8</c:f>
              <c:strCache>
                <c:ptCount val="1"/>
                <c:pt idx="0">
                  <c:v>Sector commitment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none"/>
            </c:marker>
            <c:bubble3D val="0"/>
            <c:extLst>
              <c:ext xmlns:c16="http://schemas.microsoft.com/office/drawing/2014/chart" uri="{C3380CC4-5D6E-409C-BE32-E72D297353CC}">
                <c16:uniqueId val="{00000011-8B00-4C21-B32E-9DD86E5E6D1C}"/>
              </c:ext>
            </c:extLst>
          </c:dPt>
          <c:dPt>
            <c:idx val="2"/>
            <c:marker>
              <c:symbol val="none"/>
            </c:marker>
            <c:bubble3D val="0"/>
            <c:extLst>
              <c:ext xmlns:c16="http://schemas.microsoft.com/office/drawing/2014/chart" uri="{C3380CC4-5D6E-409C-BE32-E72D297353CC}">
                <c16:uniqueId val="{00000010-8B00-4C21-B32E-9DD86E5E6D1C}"/>
              </c:ext>
            </c:extLst>
          </c:dPt>
          <c:dPt>
            <c:idx val="3"/>
            <c:marker>
              <c:symbol val="none"/>
            </c:marker>
            <c:bubble3D val="0"/>
            <c:extLst>
              <c:ext xmlns:c16="http://schemas.microsoft.com/office/drawing/2014/chart" uri="{C3380CC4-5D6E-409C-BE32-E72D297353CC}">
                <c16:uniqueId val="{0000000F-8B00-4C21-B32E-9DD86E5E6D1C}"/>
              </c:ext>
            </c:extLst>
          </c:dPt>
          <c:dPt>
            <c:idx val="5"/>
            <c:marker>
              <c:symbol val="none"/>
            </c:marker>
            <c:bubble3D val="0"/>
            <c:extLst>
              <c:ext xmlns:c16="http://schemas.microsoft.com/office/drawing/2014/chart" uri="{C3380CC4-5D6E-409C-BE32-E72D297353CC}">
                <c16:uniqueId val="{00000012-8B00-4C21-B32E-9DD86E5E6D1C}"/>
              </c:ext>
            </c:extLst>
          </c:dPt>
          <c:dPt>
            <c:idx val="7"/>
            <c:marker>
              <c:symbol val="none"/>
            </c:marker>
            <c:bubble3D val="0"/>
            <c:extLst>
              <c:ext xmlns:c16="http://schemas.microsoft.com/office/drawing/2014/chart" uri="{C3380CC4-5D6E-409C-BE32-E72D297353CC}">
                <c16:uniqueId val="{00000013-8B00-4C21-B32E-9DD86E5E6D1C}"/>
              </c:ext>
            </c:extLst>
          </c:dPt>
          <c:dLbls>
            <c:dLbl>
              <c:idx val="4"/>
              <c:tx>
                <c:strRef>
                  <c:f>'Facility targets'!$A$4</c:f>
                  <c:strCache>
                    <c:ptCount val="1"/>
                    <c:pt idx="0">
                      <c:v>TP7</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{A3572ACA-ECAB-47D8-B23C-A117899E70BA}</c15:txfldGUID>
                      <c15:f>'Facility targets'!$A$4</c15:f>
                      <c15:dlblFieldTableCache>
                        <c:ptCount val="1"/>
                        <c:pt idx="0">
                          <c:v>TP7</c:v>
                        </c:pt>
                      </c15:dlblFieldTableCache>
                    </c15:dlblFTEntry>
                  </c15:dlblFieldTable>
                  <c15:showDataLabelsRange val="0"/>
                </c:ext>
                <c:ext xmlns:c16="http://schemas.microsoft.com/office/drawing/2014/chart" uri="{C3380CC4-5D6E-409C-BE32-E72D297353CC}">
                  <c16:uniqueId val="{00000002-8B00-4C21-B32E-9DD86E5E6D1C}"/>
                </c:ext>
              </c:extLst>
            </c:dLbl>
            <c:dLbl>
              <c:idx val="6"/>
              <c:tx>
                <c:strRef>
                  <c:f>'Facility targets'!$A$5</c:f>
                  <c:strCache>
                    <c:ptCount val="1"/>
                    <c:pt idx="0">
                      <c:v>TP8</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{A0E900CF-DE32-4392-B800-684BEEEBE87C}</c15:txfldGUID>
                      <c15:f>'Facility targets'!$A$5</c15:f>
                      <c15:dlblFieldTableCache>
                        <c:ptCount val="1"/>
                        <c:pt idx="0">
                          <c:v>TP8</c:v>
                        </c:pt>
                      </c15:dlblFieldTableCache>
                    </c15:dlblFTEntry>
                  </c15:dlblFieldTable>
                  <c15:showDataLabelsRange val="0"/>
                </c:ext>
                <c:ext xmlns:c16="http://schemas.microsoft.com/office/drawing/2014/chart" uri="{C3380CC4-5D6E-409C-BE32-E72D297353CC}">
                  <c16:uniqueId val="{00000003-8B00-4C21-B32E-9DD86E5E6D1C}"/>
                </c:ext>
              </c:extLst>
            </c:dLbl>
            <c:dLbl>
              <c:idx val="8"/>
              <c:tx>
                <c:strRef>
                  <c:f>'Facility targets'!$A$6</c:f>
                  <c:strCache>
                    <c:ptCount val="1"/>
                    <c:pt idx="0">
                      <c:v>TP9</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{D6702973-4B6A-49D6-A1B3-A035708022D2}</c15:txfldGUID>
                      <c15:f>'Facility targets'!$A$6</c15:f>
                      <c15:dlblFieldTableCache>
                        <c:ptCount val="1"/>
                        <c:pt idx="0">
                          <c:v>TP9</c:v>
                        </c:pt>
                      </c15:dlblFieldTableCache>
                    </c15:dlblFTEntry>
                  </c15:dlblFieldTable>
                  <c15:showDataLabelsRange val="0"/>
                </c:ext>
                <c:ext xmlns:c16="http://schemas.microsoft.com/office/drawing/2014/chart" uri="{C3380CC4-5D6E-409C-BE32-E72D297353CC}">
                  <c16:uniqueId val="{00000004-8B00-4C21-B32E-9DD86E5E6D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'Facility targets'!$A$9:$A$17</c:f>
              <c:numCache>
                <c:formatCode>General</c:formatCode>
                <c:ptCount val="9"/>
                <c:pt idx="0">
                  <c:v>2022</c:v>
                </c:pt>
                <c:pt idx="1">
                  <c:v>2023</c:v>
                </c:pt>
                <c:pt idx="2">
                  <c:v>2024</c:v>
                </c:pt>
                <c:pt idx="3">
                  <c:v>2025</c:v>
                </c:pt>
                <c:pt idx="4">
                  <c:v>2026</c:v>
                </c:pt>
                <c:pt idx="5">
                  <c:v>2027</c:v>
                </c:pt>
                <c:pt idx="6">
                  <c:v>2028</c:v>
                </c:pt>
                <c:pt idx="7">
                  <c:v>2029</c:v>
                </c:pt>
                <c:pt idx="8">
                  <c:v>2030</c:v>
                </c:pt>
              </c:numCache>
            </c:numRef>
          </c:xVal>
          <c:yVal>
            <c:numRef>
              <c:f>'Facility targets'!$B$9:$B$17</c:f>
              <c:numCache>
                <c:formatCode>0.000%</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0-8B00-4C21-B32E-9DD86E5E6D1C}"/>
            </c:ext>
          </c:extLst>
        </c:ser>
        <c:ser>
          <c:idx val="1"/>
          <c:order val="1"/>
          <c:tx>
            <c:strRef>
              <c:f>'Facility targets'!$C$8</c:f>
              <c:strCache>
                <c:ptCount val="1"/>
                <c:pt idx="0">
                  <c:v>Facility target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Pt>
            <c:idx val="1"/>
            <c:marker>
              <c:symbol val="none"/>
            </c:marker>
            <c:bubble3D val="0"/>
            <c:extLst>
              <c:ext xmlns:c16="http://schemas.microsoft.com/office/drawing/2014/chart" uri="{C3380CC4-5D6E-409C-BE32-E72D297353CC}">
                <c16:uniqueId val="{00000018-8B00-4C21-B32E-9DD86E5E6D1C}"/>
              </c:ext>
            </c:extLst>
          </c:dPt>
          <c:dPt>
            <c:idx val="2"/>
            <c:marker>
              <c:symbol val="none"/>
            </c:marker>
            <c:bubble3D val="0"/>
            <c:extLst>
              <c:ext xmlns:c16="http://schemas.microsoft.com/office/drawing/2014/chart" uri="{C3380CC4-5D6E-409C-BE32-E72D297353CC}">
                <c16:uniqueId val="{00000017-8B00-4C21-B32E-9DD86E5E6D1C}"/>
              </c:ext>
            </c:extLst>
          </c:dPt>
          <c:dPt>
            <c:idx val="3"/>
            <c:marker>
              <c:symbol val="none"/>
            </c:marker>
            <c:bubble3D val="0"/>
            <c:extLst>
              <c:ext xmlns:c16="http://schemas.microsoft.com/office/drawing/2014/chart" uri="{C3380CC4-5D6E-409C-BE32-E72D297353CC}">
                <c16:uniqueId val="{00000016-8B00-4C21-B32E-9DD86E5E6D1C}"/>
              </c:ext>
            </c:extLst>
          </c:dPt>
          <c:dPt>
            <c:idx val="5"/>
            <c:marker>
              <c:symbol val="none"/>
            </c:marker>
            <c:bubble3D val="0"/>
            <c:extLst>
              <c:ext xmlns:c16="http://schemas.microsoft.com/office/drawing/2014/chart" uri="{C3380CC4-5D6E-409C-BE32-E72D297353CC}">
                <c16:uniqueId val="{00000015-8B00-4C21-B32E-9DD86E5E6D1C}"/>
              </c:ext>
            </c:extLst>
          </c:dPt>
          <c:dPt>
            <c:idx val="7"/>
            <c:marker>
              <c:symbol val="none"/>
            </c:marker>
            <c:bubble3D val="0"/>
            <c:extLst>
              <c:ext xmlns:c16="http://schemas.microsoft.com/office/drawing/2014/chart" uri="{C3380CC4-5D6E-409C-BE32-E72D297353CC}">
                <c16:uniqueId val="{00000014-8B00-4C21-B32E-9DD86E5E6D1C}"/>
              </c:ext>
            </c:extLst>
          </c:dPt>
          <c:dLbls>
            <c:dLbl>
              <c:idx val="4"/>
              <c:tx>
                <c:strRef>
                  <c:f>'Facility targets'!$A$4</c:f>
                  <c:strCache>
                    <c:ptCount val="1"/>
                    <c:pt idx="0">
                      <c:v>TP7</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{0929820B-0B35-48FD-A482-86E281CBAD0A}</c15:txfldGUID>
                      <c15:f>'Facility targets'!$A$4</c15:f>
                      <c15:dlblFieldTableCache>
                        <c:ptCount val="1"/>
                        <c:pt idx="0">
                          <c:v>TP7</c:v>
                        </c:pt>
                      </c15:dlblFieldTableCache>
                    </c15:dlblFTEntry>
                  </c15:dlblFieldTable>
                  <c15:showDataLabelsRange val="0"/>
                </c:ext>
                <c:ext xmlns:c16="http://schemas.microsoft.com/office/drawing/2014/chart" uri="{C3380CC4-5D6E-409C-BE32-E72D297353CC}">
                  <c16:uniqueId val="{0000000C-8B00-4C21-B32E-9DD86E5E6D1C}"/>
                </c:ext>
              </c:extLst>
            </c:dLbl>
            <c:dLbl>
              <c:idx val="6"/>
              <c:tx>
                <c:strRef>
                  <c:f>'Facility targets'!$A$5</c:f>
                  <c:strCache>
                    <c:ptCount val="1"/>
                    <c:pt idx="0">
                      <c:v>TP8</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{6F076773-4BAC-40EF-851E-C6CE35FB1D1A}</c15:txfldGUID>
                      <c15:f>'Facility targets'!$A$5</c15:f>
                      <c15:dlblFieldTableCache>
                        <c:ptCount val="1"/>
                        <c:pt idx="0">
                          <c:v>TP8</c:v>
                        </c:pt>
                      </c15:dlblFieldTableCache>
                    </c15:dlblFTEntry>
                  </c15:dlblFieldTable>
                  <c15:showDataLabelsRange val="0"/>
                </c:ext>
                <c:ext xmlns:c16="http://schemas.microsoft.com/office/drawing/2014/chart" uri="{C3380CC4-5D6E-409C-BE32-E72D297353CC}">
                  <c16:uniqueId val="{0000000D-8B00-4C21-B32E-9DD86E5E6D1C}"/>
                </c:ext>
              </c:extLst>
            </c:dLbl>
            <c:dLbl>
              <c:idx val="8"/>
              <c:tx>
                <c:strRef>
                  <c:f>'Facility targets'!$A$6</c:f>
                  <c:strCache>
                    <c:ptCount val="1"/>
                    <c:pt idx="0">
                      <c:v>TP9</c:v>
                    </c:pt>
                  </c:strCache>
                </c:strRef>
              </c:tx>
              <c:showLegendKey val="0"/>
              <c:showVal val="1"/>
              <c:showCatName val="0"/>
              <c:showSerName val="0"/>
              <c:showPercent val="0"/>
              <c:showBubbleSize val="0"/>
              <c:extLst>
                <c:ext xmlns:c15="http://schemas.microsoft.com/office/drawing/2012/chart" uri="{CE6537A1-D6FC-4f65-9D91-7224C49458BB}">
                  <c15:dlblFieldTable>
                    <c15:dlblFTEntry>
                      <c15:txfldGUID>{8B4DA289-58AA-4F5C-9D18-DA4EF4BFB393}</c15:txfldGUID>
                      <c15:f>'Facility targets'!$A$6</c15:f>
                      <c15:dlblFieldTableCache>
                        <c:ptCount val="1"/>
                        <c:pt idx="0">
                          <c:v>TP9</c:v>
                        </c:pt>
                      </c15:dlblFieldTableCache>
                    </c15:dlblFTEntry>
                  </c15:dlblFieldTable>
                  <c15:showDataLabelsRange val="0"/>
                </c:ext>
                <c:ext xmlns:c16="http://schemas.microsoft.com/office/drawing/2014/chart" uri="{C3380CC4-5D6E-409C-BE32-E72D297353CC}">
                  <c16:uniqueId val="{0000000E-8B00-4C21-B32E-9DD86E5E6D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'Facility targets'!$A$9:$A$17</c:f>
              <c:numCache>
                <c:formatCode>General</c:formatCode>
                <c:ptCount val="9"/>
                <c:pt idx="0">
                  <c:v>2022</c:v>
                </c:pt>
                <c:pt idx="1">
                  <c:v>2023</c:v>
                </c:pt>
                <c:pt idx="2">
                  <c:v>2024</c:v>
                </c:pt>
                <c:pt idx="3">
                  <c:v>2025</c:v>
                </c:pt>
                <c:pt idx="4">
                  <c:v>2026</c:v>
                </c:pt>
                <c:pt idx="5">
                  <c:v>2027</c:v>
                </c:pt>
                <c:pt idx="6">
                  <c:v>2028</c:v>
                </c:pt>
                <c:pt idx="7">
                  <c:v>2029</c:v>
                </c:pt>
                <c:pt idx="8">
                  <c:v>2030</c:v>
                </c:pt>
              </c:numCache>
            </c:numRef>
          </c:xVal>
          <c:yVal>
            <c:numRef>
              <c:f>'Facility targets'!$C$9:$C$17</c:f>
              <c:numCache>
                <c:formatCode>0.000%</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B-8B00-4C21-B32E-9DD86E5E6D1C}"/>
            </c:ext>
          </c:extLst>
        </c:ser>
        <c:dLbls>
          <c:showLegendKey val="0"/>
          <c:showVal val="0"/>
          <c:showCatName val="0"/>
          <c:showSerName val="0"/>
          <c:showPercent val="0"/>
          <c:showBubbleSize val="0"/>
        </c:dLbls>
        <c:axId val="368383744"/>
        <c:axId val="368383264"/>
      </c:scatterChart>
      <c:valAx>
        <c:axId val="368383744"/>
        <c:scaling>
          <c:orientation val="minMax"/>
          <c:max val="2030"/>
          <c:min val="2022"/>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383264"/>
        <c:crosses val="autoZero"/>
        <c:crossBetween val="midCat"/>
      </c:valAx>
      <c:valAx>
        <c:axId val="36838326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3837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'Monthly BY data (optional)'!$A$18</c:f>
          <c:strCache>
            <c:ptCount val="1"/>
            <c:pt idx="0">
              <c:v> vs. throughput (12 months)</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'Monthly BY data (optional)'!$B$3</c:f>
              <c:strCache>
                <c:ptCount val="1"/>
                <c:pt idx="0">
                  <c:v>Throughput units / month</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'Monthly BY data (optional)'!$B$4:$B$15</c:f>
              <c:numCache>
                <c:formatCode>#,##0</c:formatCode>
                <c:ptCount val="12"/>
              </c:numCache>
            </c:numRef>
          </c:xVal>
          <c:yVal>
            <c:numRef>
              <c:f>'Monthly BY data (optional)'!$C$4:$C$15</c:f>
              <c:numCache>
                <c:formatCode>#,##0</c:formatCode>
                <c:ptCount val="12"/>
              </c:numCache>
            </c:numRef>
          </c:yVal>
          <c:smooth val="0"/>
          <c:extLst>
            <c:ext xmlns:c16="http://schemas.microsoft.com/office/drawing/2014/chart" uri="{C3380CC4-5D6E-409C-BE32-E72D297353CC}">
              <c16:uniqueId val="{00000001-4BD7-41A8-8C6B-98A3A5C7A8E5}"/>
            </c:ext>
          </c:extLst>
        </c:ser>
        <c:dLbls>
          <c:showLegendKey val="0"/>
          <c:showVal val="0"/>
          <c:showCatName val="0"/>
          <c:showSerName val="0"/>
          <c:showPercent val="0"/>
          <c:showBubbleSize val="0"/>
        </c:dLbls>
        <c:axId val="1187378831"/>
        <c:axId val="1187376431"/>
      </c:scatterChart>
      <c:valAx>
        <c:axId val="1187378831"/>
        <c:scaling>
          <c:orientation val="minMax"/>
        </c:scaling>
        <c:delete val="0"/>
        <c:axPos val="b"/>
        <c:majorGridlines>
          <c:spPr>
            <a:ln w="9525" cap="flat" cmpd="sng" algn="ctr">
              <a:solidFill>
                <a:schemeClr val="tx1">
                  <a:lumMod val="15000"/>
                  <a:lumOff val="85000"/>
                </a:schemeClr>
              </a:solidFill>
              <a:round/>
            </a:ln>
            <a:effectLst/>
          </c:spPr>
        </c:majorGridlines>
        <c:title>
          <c:tx>
            <c:strRef>
              <c:f>'Monthly BY data (optional)'!$B$3</c:f>
              <c:strCache>
                <c:ptCount val="1"/>
                <c:pt idx="0">
                  <c:v>Throughput units / month</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376431"/>
        <c:crosses val="autoZero"/>
        <c:crossBetween val="midCat"/>
      </c:valAx>
      <c:valAx>
        <c:axId val="1187376431"/>
        <c:scaling>
          <c:orientation val="minMax"/>
        </c:scaling>
        <c:delete val="0"/>
        <c:axPos val="l"/>
        <c:majorGridlines>
          <c:spPr>
            <a:ln w="9525" cap="flat" cmpd="sng" algn="ctr">
              <a:solidFill>
                <a:schemeClr val="tx1">
                  <a:lumMod val="15000"/>
                  <a:lumOff val="85000"/>
                </a:schemeClr>
              </a:solidFill>
              <a:round/>
            </a:ln>
            <a:effectLst/>
          </c:spPr>
        </c:majorGridlines>
        <c:title>
          <c:tx>
            <c:strRef>
              <c:f>'Monthly BY data (optional)'!$C$3</c:f>
              <c:strCache>
                <c:ptCount val="1"/>
                <c:pt idx="0">
                  <c:v>Actual   / month</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37883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'Monthly BY data (optional)'!$G$18</c:f>
          <c:strCache>
            <c:ptCount val="1"/>
            <c:pt idx="0">
              <c:v>Actual and calculated  per month</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'Monthly BY data (optional)'!$C$3</c:f>
              <c:strCache>
                <c:ptCount val="1"/>
                <c:pt idx="0">
                  <c:v>Actual   / month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'Monthly BY data (optional)'!$A$4:$A$15</c:f>
            </c:numRef>
          </c:cat>
          <c:val>
            <c:numRef>
              <c:f>'Monthly BY data (optional)'!$C$4:$C$15</c:f>
              <c:numCache>
                <c:formatCode>#,##0</c:formatCode>
                <c:ptCount val="12"/>
              </c:numCache>
            </c:numRef>
          </c:val>
          <c:smooth val="0"/>
          <c:extLst>
            <c:ext xmlns:c16="http://schemas.microsoft.com/office/drawing/2014/chart" uri="{C3380CC4-5D6E-409C-BE32-E72D297353CC}">
              <c16:uniqueId val="{00000000-2433-45BA-BAEF-3360B7FE6FEB}"/>
            </c:ext>
          </c:extLst>
        </c:ser>
        <c:ser>
          <c:idx val="1"/>
          <c:order val="1"/>
          <c:tx>
            <c:strRef>
              <c:f>'Monthly BY data (optional)'!$D$3</c:f>
              <c:strCache>
                <c:ptCount val="1"/>
                <c:pt idx="0">
                  <c:v>Calculated   / month</c:v>
                </c:pt>
              </c:strCache>
            </c:strRef>
          </c:tx>
          <c:spPr>
            <a:ln w="28575" cap="rnd">
              <a:solidFill>
                <a:schemeClr val="accent2"/>
              </a:solidFill>
              <a:prstDash val="dash"/>
              <a:round/>
            </a:ln>
            <a:effectLst/>
          </c:spPr>
          <c:marker>
            <c:symbol val="circle"/>
            <c:size val="5"/>
            <c:spPr>
              <a:solidFill>
                <a:schemeClr val="accent2"/>
              </a:solidFill>
              <a:ln w="9525">
                <a:solidFill>
                  <a:schemeClr val="accent2"/>
                </a:solidFill>
              </a:ln>
              <a:effectLst/>
            </c:spPr>
          </c:marker>
          <c:cat>
            <c:numRef>
              <c:f>'Monthly BY data (optional)'!$A$4:$A$15</c:f>
            </c:numRef>
          </c:cat>
          <c:val>
            <c:numRef>
              <c:f>'Monthly BY data (optional)'!$D$4:$D$15</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2433-45BA-BAEF-3360B7FE6FEB}"/>
            </c:ext>
          </c:extLst>
        </c:ser>
        <c:dLbls>
          <c:showLegendKey val="0"/>
          <c:showVal val="0"/>
          <c:showCatName val="0"/>
          <c:showSerName val="0"/>
          <c:showPercent val="0"/>
          <c:showBubbleSize val="0"/>
        </c:dLbls>
        <c:marker val="1"/>
        <c:smooth val="0"/>
        <c:axId val="1183921359"/>
        <c:axId val="1183908399"/>
      </c:lineChart>
      <c:dateAx>
        <c:axId val="1183921359"/>
        <c:scaling>
          <c:orientation val="minMax"/>
        </c:scaling>
        <c:delete val="0"/>
        <c:axPos val="b"/>
        <c:numFmt formatCode="mmm\ 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908399"/>
        <c:crosses val="autoZero"/>
        <c:auto val="0"/>
        <c:lblOffset val="100"/>
        <c:baseTimeUnit val="months"/>
      </c:dateAx>
      <c:valAx>
        <c:axId val="1183908399"/>
        <c:scaling>
          <c:orientation val="minMax"/>
        </c:scaling>
        <c:delete val="0"/>
        <c:axPos val="l"/>
        <c:majorGridlines>
          <c:spPr>
            <a:ln w="9525" cap="flat" cmpd="sng" algn="ctr">
              <a:solidFill>
                <a:schemeClr val="tx1">
                  <a:lumMod val="15000"/>
                  <a:lumOff val="85000"/>
                </a:schemeClr>
              </a:solidFill>
              <a:round/>
            </a:ln>
            <a:effectLst/>
          </c:spPr>
        </c:majorGridlines>
        <c:title>
          <c:tx>
            <c:strRef>
              <c:f>'Monthly BY data (optional)'!$G$19</c:f>
              <c:strCache>
                <c:ptCount val="1"/>
                <c:pt idx="0">
                  <c:v> ()</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921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'Weekly BY data (optional)'!$G$10</c:f>
          <c:strCache>
            <c:ptCount val="1"/>
            <c:pt idx="0">
              <c:v> vs. throughput (52 weeks)</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'Weekly BY data (optional)'!$B$3</c:f>
              <c:strCache>
                <c:ptCount val="1"/>
                <c:pt idx="0">
                  <c:v>Throughput units/week</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'Weekly BY data (optional)'!$B$4:$B$55</c:f>
              <c:numCache>
                <c:formatCode>#,##0</c:formatCode>
                <c:ptCount val="52"/>
              </c:numCache>
            </c:numRef>
          </c:xVal>
          <c:yVal>
            <c:numRef>
              <c:f>'Weekly BY data (optional)'!$C$4:$C$55</c:f>
              <c:numCache>
                <c:formatCode>#,##0</c:formatCode>
                <c:ptCount val="52"/>
              </c:numCache>
            </c:numRef>
          </c:yVal>
          <c:smooth val="0"/>
          <c:extLst>
            <c:ext xmlns:c16="http://schemas.microsoft.com/office/drawing/2014/chart" uri="{C3380CC4-5D6E-409C-BE32-E72D297353CC}">
              <c16:uniqueId val="{00000000-916C-4938-9438-FDE2EECD7633}"/>
            </c:ext>
          </c:extLst>
        </c:ser>
        <c:dLbls>
          <c:showLegendKey val="0"/>
          <c:showVal val="0"/>
          <c:showCatName val="0"/>
          <c:showSerName val="0"/>
          <c:showPercent val="0"/>
          <c:showBubbleSize val="0"/>
        </c:dLbls>
        <c:axId val="1187378831"/>
        <c:axId val="1187376431"/>
      </c:scatterChart>
      <c:valAx>
        <c:axId val="1187378831"/>
        <c:scaling>
          <c:orientation val="minMax"/>
        </c:scaling>
        <c:delete val="0"/>
        <c:axPos val="b"/>
        <c:majorGridlines>
          <c:spPr>
            <a:ln w="9525" cap="flat" cmpd="sng" algn="ctr">
              <a:solidFill>
                <a:schemeClr val="tx1">
                  <a:lumMod val="15000"/>
                  <a:lumOff val="85000"/>
                </a:schemeClr>
              </a:solidFill>
              <a:round/>
            </a:ln>
            <a:effectLst/>
          </c:spPr>
        </c:majorGridlines>
        <c:title>
          <c:tx>
            <c:strRef>
              <c:f>'Weekly BY data (optional)'!$B$3</c:f>
              <c:strCache>
                <c:ptCount val="1"/>
                <c:pt idx="0">
                  <c:v>Throughput units/week</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376431"/>
        <c:crosses val="autoZero"/>
        <c:crossBetween val="midCat"/>
      </c:valAx>
      <c:valAx>
        <c:axId val="1187376431"/>
        <c:scaling>
          <c:orientation val="minMax"/>
        </c:scaling>
        <c:delete val="0"/>
        <c:axPos val="l"/>
        <c:majorGridlines>
          <c:spPr>
            <a:ln w="9525" cap="flat" cmpd="sng" algn="ctr">
              <a:solidFill>
                <a:schemeClr val="tx1">
                  <a:lumMod val="15000"/>
                  <a:lumOff val="85000"/>
                </a:schemeClr>
              </a:solidFill>
              <a:round/>
            </a:ln>
            <a:effectLst/>
          </c:spPr>
        </c:majorGridlines>
        <c:title>
          <c:tx>
            <c:strRef>
              <c:f>'Weekly BY data (optional)'!$C$3</c:f>
              <c:strCache>
                <c:ptCount val="1"/>
                <c:pt idx="0">
                  <c:v>Actual   / week</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37883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'Weekly BY data (optional)'!$K$10</c:f>
          <c:strCache>
            <c:ptCount val="1"/>
            <c:pt idx="0">
              <c:v>Actual and calculated  per week</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'Weekly BY data (optional)'!$C$3</c:f>
              <c:strCache>
                <c:ptCount val="1"/>
                <c:pt idx="0">
                  <c:v>Actual   / week</c:v>
                </c:pt>
              </c:strCache>
            </c:strRef>
          </c:tx>
          <c:spPr>
            <a:ln w="28575" cap="rnd">
              <a:solidFill>
                <a:schemeClr val="accent1"/>
              </a:solidFill>
              <a:round/>
            </a:ln>
            <a:effectLst/>
          </c:spPr>
          <c:marker>
            <c:symbol val="none"/>
          </c:marker>
          <c:cat>
            <c:numRef>
              <c:f>'Weekly BY data (optional)'!$A$4:$A$55</c:f>
            </c:numRef>
          </c:cat>
          <c:val>
            <c:numRef>
              <c:f>'Weekly BY data (optional)'!$C$4:$C$55</c:f>
              <c:numCache>
                <c:formatCode>#,##0</c:formatCode>
                <c:ptCount val="52"/>
              </c:numCache>
            </c:numRef>
          </c:val>
          <c:smooth val="0"/>
          <c:extLst>
            <c:ext xmlns:c16="http://schemas.microsoft.com/office/drawing/2014/chart" uri="{C3380CC4-5D6E-409C-BE32-E72D297353CC}">
              <c16:uniqueId val="{00000000-81B1-4508-B466-412407CEB71A}"/>
            </c:ext>
          </c:extLst>
        </c:ser>
        <c:ser>
          <c:idx val="1"/>
          <c:order val="1"/>
          <c:tx>
            <c:strRef>
              <c:f>'Weekly BY data (optional)'!$D$3</c:f>
              <c:strCache>
                <c:ptCount val="1"/>
                <c:pt idx="0">
                  <c:v>Predicted   / week</c:v>
                </c:pt>
              </c:strCache>
            </c:strRef>
          </c:tx>
          <c:spPr>
            <a:ln w="28575" cap="rnd">
              <a:solidFill>
                <a:schemeClr val="accent2"/>
              </a:solidFill>
              <a:prstDash val="dash"/>
              <a:round/>
            </a:ln>
            <a:effectLst/>
          </c:spPr>
          <c:marker>
            <c:symbol val="none"/>
          </c:marker>
          <c:cat>
            <c:numRef>
              <c:f>'Weekly BY data (optional)'!$A$4:$A$55</c:f>
            </c:numRef>
          </c:cat>
          <c:val>
            <c:numRef>
              <c:f>'Weekly BY data (optional)'!$D$4:$D$55</c:f>
              <c:numCache>
                <c:formatCode>#,##0</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smooth val="0"/>
          <c:extLst>
            <c:ext xmlns:c16="http://schemas.microsoft.com/office/drawing/2014/chart" uri="{C3380CC4-5D6E-409C-BE32-E72D297353CC}">
              <c16:uniqueId val="{00000001-81B1-4508-B466-412407CEB71A}"/>
            </c:ext>
          </c:extLst>
        </c:ser>
        <c:dLbls>
          <c:showLegendKey val="0"/>
          <c:showVal val="0"/>
          <c:showCatName val="0"/>
          <c:showSerName val="0"/>
          <c:showPercent val="0"/>
          <c:showBubbleSize val="0"/>
        </c:dLbls>
        <c:smooth val="0"/>
        <c:axId val="668354143"/>
        <c:axId val="679232831"/>
      </c:lineChart>
      <c:catAx>
        <c:axId val="668354143"/>
        <c:scaling>
          <c:orientation val="minMax"/>
        </c:scaling>
        <c:delete val="0"/>
        <c:axPos val="b"/>
        <c:title>
          <c:tx>
            <c:strRef>
              <c:f>'Weekly BY data (optional)'!$A$3</c:f>
              <c:strCache>
                <c:ptCount val="1"/>
                <c:pt idx="0">
                  <c:v>Week commencing</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232831"/>
        <c:crosses val="autoZero"/>
        <c:auto val="1"/>
        <c:lblAlgn val="ctr"/>
        <c:lblOffset val="100"/>
        <c:noMultiLvlLbl val="1"/>
      </c:catAx>
      <c:valAx>
        <c:axId val="679232831"/>
        <c:scaling>
          <c:orientation val="minMax"/>
        </c:scaling>
        <c:delete val="0"/>
        <c:axPos val="l"/>
        <c:majorGridlines>
          <c:spPr>
            <a:ln w="9525" cap="flat" cmpd="sng" algn="ctr">
              <a:solidFill>
                <a:schemeClr val="tx1">
                  <a:lumMod val="15000"/>
                  <a:lumOff val="85000"/>
                </a:schemeClr>
              </a:solidFill>
              <a:round/>
            </a:ln>
            <a:effectLst/>
          </c:spPr>
        </c:majorGridlines>
        <c:title>
          <c:tx>
            <c:strRef>
              <c:f>'Weekly BY data (optional)'!$K$11</c:f>
              <c:strCache>
                <c:ptCount val="1"/>
                <c:pt idx="0">
                  <c:v> ()</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3541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"Actual and calculated ENERGY per month"</c:f>
          <c:strCache>
            <c:ptCount val="1"/>
            <c:pt idx="0">
              <c:v>Actual and calculated ENERGY per month</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'Monthly BY multi-prod'!$Q$3</c:f>
              <c:strCache>
                <c:ptCount val="1"/>
                <c:pt idx="0">
                  <c:v>Actual   / month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'Monthly BY multi-prod'!$A$4:$A$15</c:f>
            </c:numRef>
          </c:cat>
          <c:val>
            <c:numRef>
              <c:f>'Monthly BY multi-prod'!$Q$4:$Q$15</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6666-4ACC-B80B-11AC495DE5DA}"/>
            </c:ext>
          </c:extLst>
        </c:ser>
        <c:ser>
          <c:idx val="1"/>
          <c:order val="1"/>
          <c:tx>
            <c:strRef>
              <c:f>'Monthly BY multi-prod'!$R$3</c:f>
              <c:strCache>
                <c:ptCount val="1"/>
                <c:pt idx="0">
                  <c:v>Calculated   / month</c:v>
                </c:pt>
              </c:strCache>
            </c:strRef>
          </c:tx>
          <c:spPr>
            <a:ln w="28575" cap="rnd">
              <a:solidFill>
                <a:schemeClr val="accent2"/>
              </a:solidFill>
              <a:prstDash val="dash"/>
              <a:round/>
            </a:ln>
            <a:effectLst/>
          </c:spPr>
          <c:marker>
            <c:symbol val="circle"/>
            <c:size val="5"/>
            <c:spPr>
              <a:solidFill>
                <a:schemeClr val="accent2"/>
              </a:solidFill>
              <a:ln w="9525">
                <a:solidFill>
                  <a:schemeClr val="accent2"/>
                </a:solidFill>
              </a:ln>
              <a:effectLst/>
            </c:spPr>
          </c:marker>
          <c:cat>
            <c:numRef>
              <c:f>'Monthly BY multi-prod'!$A$4:$A$15</c:f>
            </c:numRef>
          </c:cat>
          <c:val>
            <c:numRef>
              <c:f>'Monthly BY multi-prod'!$R$4:$R$15</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6666-4ACC-B80B-11AC495DE5DA}"/>
            </c:ext>
          </c:extLst>
        </c:ser>
        <c:dLbls>
          <c:showLegendKey val="0"/>
          <c:showVal val="0"/>
          <c:showCatName val="0"/>
          <c:showSerName val="0"/>
          <c:showPercent val="0"/>
          <c:showBubbleSize val="0"/>
        </c:dLbls>
        <c:marker val="1"/>
        <c:smooth val="0"/>
        <c:axId val="1183921359"/>
        <c:axId val="1183908399"/>
      </c:lineChart>
      <c:dateAx>
        <c:axId val="1183921359"/>
        <c:scaling>
          <c:orientation val="minMax"/>
        </c:scaling>
        <c:delete val="0"/>
        <c:axPos val="b"/>
        <c:numFmt formatCode="mmm\ 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908399"/>
        <c:crosses val="autoZero"/>
        <c:auto val="0"/>
        <c:lblOffset val="100"/>
        <c:baseTimeUnit val="months"/>
      </c:dateAx>
      <c:valAx>
        <c:axId val="1183908399"/>
        <c:scaling>
          <c:orientation val="minMax"/>
        </c:scaling>
        <c:delete val="0"/>
        <c:axPos val="l"/>
        <c:majorGridlines>
          <c:spPr>
            <a:ln w="9525" cap="flat" cmpd="sng" algn="ctr">
              <a:solidFill>
                <a:schemeClr val="tx1">
                  <a:lumMod val="15000"/>
                  <a:lumOff val="85000"/>
                </a:schemeClr>
              </a:solidFill>
              <a:round/>
            </a:ln>
            <a:effectLst/>
          </c:spPr>
        </c:majorGridlines>
        <c:title>
          <c:tx>
            <c:strRef>
              <c:f>"ENERGY (kWh)"</c:f>
              <c:strCache>
                <c:ptCount val="1"/>
                <c:pt idx="0">
                  <c:v>ENERGY (kWh)</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921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'Weekly BY data (optional)'!$K$10</c:f>
          <c:strCache>
            <c:ptCount val="1"/>
            <c:pt idx="0">
              <c:v>Actual and calculated  per week</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'Weekly BY multi-prod'!$Q$3</c:f>
              <c:strCache>
                <c:ptCount val="1"/>
                <c:pt idx="0">
                  <c:v>Actual   / week</c:v>
                </c:pt>
              </c:strCache>
            </c:strRef>
          </c:tx>
          <c:spPr>
            <a:ln w="28575" cap="rnd">
              <a:solidFill>
                <a:schemeClr val="accent1"/>
              </a:solidFill>
              <a:round/>
            </a:ln>
            <a:effectLst/>
          </c:spPr>
          <c:marker>
            <c:symbol val="none"/>
          </c:marker>
          <c:cat>
            <c:numRef>
              <c:f>'Weekly BY multi-prod'!$A$4:$A$55</c:f>
            </c:numRef>
          </c:cat>
          <c:val>
            <c:numRef>
              <c:f>'Weekly BY multi-prod'!$Q$4:$Q$55</c:f>
              <c:numCache>
                <c:formatCode>#,##0</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smooth val="0"/>
          <c:extLst>
            <c:ext xmlns:c16="http://schemas.microsoft.com/office/drawing/2014/chart" uri="{C3380CC4-5D6E-409C-BE32-E72D297353CC}">
              <c16:uniqueId val="{00000000-2054-47CC-B79F-0A852E3F681C}"/>
            </c:ext>
          </c:extLst>
        </c:ser>
        <c:ser>
          <c:idx val="1"/>
          <c:order val="1"/>
          <c:tx>
            <c:strRef>
              <c:f>'Weekly BY multi-prod'!$R$3</c:f>
              <c:strCache>
                <c:ptCount val="1"/>
                <c:pt idx="0">
                  <c:v>Predicted   / week</c:v>
                </c:pt>
              </c:strCache>
            </c:strRef>
          </c:tx>
          <c:spPr>
            <a:ln w="28575" cap="rnd">
              <a:solidFill>
                <a:schemeClr val="accent2"/>
              </a:solidFill>
              <a:prstDash val="dash"/>
              <a:round/>
            </a:ln>
            <a:effectLst/>
          </c:spPr>
          <c:marker>
            <c:symbol val="none"/>
          </c:marker>
          <c:cat>
            <c:numRef>
              <c:f>'Weekly BY multi-prod'!$A$4:$A$55</c:f>
            </c:numRef>
          </c:cat>
          <c:val>
            <c:numRef>
              <c:f>'Weekly BY multi-prod'!$R$4:$R$55</c:f>
              <c:numCache>
                <c:formatCode>#,##0</c:formatCode>
                <c:ptCount val="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numCache>
            </c:numRef>
          </c:val>
          <c:smooth val="0"/>
          <c:extLst>
            <c:ext xmlns:c16="http://schemas.microsoft.com/office/drawing/2014/chart" uri="{C3380CC4-5D6E-409C-BE32-E72D297353CC}">
              <c16:uniqueId val="{00000001-2054-47CC-B79F-0A852E3F681C}"/>
            </c:ext>
          </c:extLst>
        </c:ser>
        <c:dLbls>
          <c:showLegendKey val="0"/>
          <c:showVal val="0"/>
          <c:showCatName val="0"/>
          <c:showSerName val="0"/>
          <c:showPercent val="0"/>
          <c:showBubbleSize val="0"/>
        </c:dLbls>
        <c:smooth val="0"/>
        <c:axId val="668354143"/>
        <c:axId val="679232831"/>
      </c:lineChart>
      <c:catAx>
        <c:axId val="668354143"/>
        <c:scaling>
          <c:orientation val="minMax"/>
        </c:scaling>
        <c:delete val="0"/>
        <c:axPos val="b"/>
        <c:title>
          <c:tx>
            <c:strRef>
              <c:f>'Weekly BY data (optional)'!$A$3</c:f>
              <c:strCache>
                <c:ptCount val="1"/>
                <c:pt idx="0">
                  <c:v>Week commencing</c:v>
                </c:pt>
              </c:strCache>
            </c:strRef>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232831"/>
        <c:crosses val="autoZero"/>
        <c:auto val="0"/>
        <c:lblAlgn val="ctr"/>
        <c:lblOffset val="100"/>
        <c:tickLblSkip val="1"/>
        <c:noMultiLvlLbl val="0"/>
      </c:catAx>
      <c:valAx>
        <c:axId val="679232831"/>
        <c:scaling>
          <c:orientation val="minMax"/>
        </c:scaling>
        <c:delete val="0"/>
        <c:axPos val="l"/>
        <c:majorGridlines>
          <c:spPr>
            <a:ln w="9525" cap="flat" cmpd="sng" algn="ctr">
              <a:solidFill>
                <a:schemeClr val="tx1">
                  <a:lumMod val="15000"/>
                  <a:lumOff val="85000"/>
                </a:schemeClr>
              </a:solidFill>
              <a:round/>
            </a:ln>
            <a:effectLst/>
          </c:spPr>
        </c:majorGridlines>
        <c:title>
          <c:tx>
            <c:strRef>
              <c:f>'Weekly BY data (optional)'!$K$11</c:f>
              <c:strCache>
                <c:ptCount val="1"/>
                <c:pt idx="0">
                  <c:v> ()</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83541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0</xdr:colOff>
      <xdr:row>2</xdr:row>
      <xdr:rowOff>0</xdr:rowOff>
    </xdr:from>
    <xdr:to>
      <xdr:col>9</xdr:col>
      <xdr:colOff>0</xdr:colOff>
      <xdr:row>19</xdr:row>
      <xdr:rowOff>0</xdr:rowOff>
    </xdr:to>
    <xdr:graphicFrame macro="">
      <xdr:nvGraphicFramePr>
        <xdr:cNvPr id="2" name="Chart 1">
          <a:extLst>
            <a:ext uri="{FF2B5EF4-FFF2-40B4-BE49-F238E27FC236}">
              <a16:creationId xmlns:a16="http://schemas.microsoft.com/office/drawing/2014/main" id="{9129A7B5-BEC3-0AB8-D10F-88CDEA2E40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17</xdr:row>
      <xdr:rowOff>0</xdr:rowOff>
    </xdr:from>
    <xdr:to>
      <xdr:col>6</xdr:col>
      <xdr:colOff>1</xdr:colOff>
      <xdr:row>46</xdr:row>
      <xdr:rowOff>0</xdr:rowOff>
    </xdr:to>
    <xdr:graphicFrame macro="">
      <xdr:nvGraphicFramePr>
        <xdr:cNvPr id="2" name="Chart 1">
          <a:extLst>
            <a:ext uri="{FF2B5EF4-FFF2-40B4-BE49-F238E27FC236}">
              <a16:creationId xmlns:a16="http://schemas.microsoft.com/office/drawing/2014/main" id="{29F39C25-A6FB-457F-AA65-3A84F06A1D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17</xdr:row>
      <xdr:rowOff>0</xdr:rowOff>
    </xdr:from>
    <xdr:to>
      <xdr:col>14</xdr:col>
      <xdr:colOff>0</xdr:colOff>
      <xdr:row>46</xdr:row>
      <xdr:rowOff>0</xdr:rowOff>
    </xdr:to>
    <xdr:graphicFrame macro="">
      <xdr:nvGraphicFramePr>
        <xdr:cNvPr id="3" name="Chart 2">
          <a:extLst>
            <a:ext uri="{FF2B5EF4-FFF2-40B4-BE49-F238E27FC236}">
              <a16:creationId xmlns:a16="http://schemas.microsoft.com/office/drawing/2014/main" id="{8987A2F2-2AD0-DE1B-8719-E150B905E1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28575</xdr:colOff>
      <xdr:row>9</xdr:row>
      <xdr:rowOff>0</xdr:rowOff>
    </xdr:from>
    <xdr:to>
      <xdr:col>10</xdr:col>
      <xdr:colOff>0</xdr:colOff>
      <xdr:row>40</xdr:row>
      <xdr:rowOff>0</xdr:rowOff>
    </xdr:to>
    <xdr:graphicFrame macro="">
      <xdr:nvGraphicFramePr>
        <xdr:cNvPr id="2" name="Chart 1">
          <a:extLst>
            <a:ext uri="{FF2B5EF4-FFF2-40B4-BE49-F238E27FC236}">
              <a16:creationId xmlns:a16="http://schemas.microsoft.com/office/drawing/2014/main" id="{BA7EF76E-6295-AC00-E63F-4B0F30CA19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9</xdr:row>
      <xdr:rowOff>0</xdr:rowOff>
    </xdr:from>
    <xdr:to>
      <xdr:col>23</xdr:col>
      <xdr:colOff>0</xdr:colOff>
      <xdr:row>40</xdr:row>
      <xdr:rowOff>0</xdr:rowOff>
    </xdr:to>
    <xdr:graphicFrame macro="">
      <xdr:nvGraphicFramePr>
        <xdr:cNvPr id="3" name="Chart 2">
          <a:extLst>
            <a:ext uri="{FF2B5EF4-FFF2-40B4-BE49-F238E27FC236}">
              <a16:creationId xmlns:a16="http://schemas.microsoft.com/office/drawing/2014/main" id="{D21B5C6C-050B-3869-C4FC-A73AAF58DC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19</xdr:row>
      <xdr:rowOff>0</xdr:rowOff>
    </xdr:from>
    <xdr:to>
      <xdr:col>15</xdr:col>
      <xdr:colOff>0</xdr:colOff>
      <xdr:row>48</xdr:row>
      <xdr:rowOff>0</xdr:rowOff>
    </xdr:to>
    <xdr:graphicFrame macro="">
      <xdr:nvGraphicFramePr>
        <xdr:cNvPr id="2" name="Chart 1">
          <a:extLst>
            <a:ext uri="{FF2B5EF4-FFF2-40B4-BE49-F238E27FC236}">
              <a16:creationId xmlns:a16="http://schemas.microsoft.com/office/drawing/2014/main" id="{B4CBC320-9A5A-42E1-9340-86645441FE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58</xdr:row>
      <xdr:rowOff>0</xdr:rowOff>
    </xdr:from>
    <xdr:to>
      <xdr:col>14</xdr:col>
      <xdr:colOff>666750</xdr:colOff>
      <xdr:row>89</xdr:row>
      <xdr:rowOff>0</xdr:rowOff>
    </xdr:to>
    <xdr:graphicFrame macro="">
      <xdr:nvGraphicFramePr>
        <xdr:cNvPr id="3" name="Chart 2">
          <a:extLst>
            <a:ext uri="{FF2B5EF4-FFF2-40B4-BE49-F238E27FC236}">
              <a16:creationId xmlns:a16="http://schemas.microsoft.com/office/drawing/2014/main" id="{FAE5097B-105D-4B6A-AC54-CA38177E85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A5191B-D76D-44B5-9E17-3C712DFD30F9}" name="Table1" displayName="Table1" ref="A8:C17" totalsRowShown="0" dataDxfId="16">
  <autoFilter ref="A8:C17" xr:uid="{81A5191B-D76D-44B5-9E17-3C712DFD30F9}">
    <filterColumn colId="0" hiddenButton="1"/>
    <filterColumn colId="1" hiddenButton="1"/>
    <filterColumn colId="2" hiddenButton="1"/>
  </autoFilter>
  <tableColumns count="3">
    <tableColumn id="1" xr3:uid="{D5AA9471-B2AD-4882-A036-BA4900BDAD79}" name="Year" dataDxfId="15"/>
    <tableColumn id="2" xr3:uid="{DE14445A-0E02-4E7F-B4D9-61953A819576}" name="Sector commitment" dataDxfId="14"/>
    <tableColumn id="3" xr3:uid="{917285C7-9207-436E-BB3D-E72CA4992847}" name="Facility target" dataDxfId="13">
      <calculatedColumnFormula>IF(facilityBaseYear&gt;=Table1[[#This Row],[Year]],0,1-(1-Table1[[#This Row],[Sector commitment]])/(1-_xlfn.XLOOKUP(facilityBaseYear,Table1[Year],Table1[Sector commitment])))</calculatedColumnFormula>
    </tableColumn>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00EE3A-D973-42DC-9828-0906BB535D6B}" name="Table2" displayName="Table2" ref="A3:B6" totalsRowShown="0">
  <autoFilter ref="A3:B6" xr:uid="{3600EE3A-D973-42DC-9828-0906BB535D6B}">
    <filterColumn colId="0" hiddenButton="1"/>
    <filterColumn colId="1" hiddenButton="1"/>
  </autoFilter>
  <tableColumns count="2">
    <tableColumn id="1" xr3:uid="{3F510D7D-0A39-44B4-BB20-87F9786B622A}" name="Target period" dataDxfId="12"/>
    <tableColumn id="2" xr3:uid="{576314B0-395B-4895-860E-ECAABC8B0C93}" name="Sector commitment" dataDxfId="11"/>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023B299-011E-4E10-91D5-6198DFDA1FC7}" name="dataForMyCCA" displayName="dataForMyCCA" ref="A1:C143" totalsRowShown="0">
  <autoFilter ref="A1:C143" xr:uid="{1023B299-011E-4E10-91D5-6198DFDA1FC7}"/>
  <tableColumns count="3">
    <tableColumn id="3" xr3:uid="{AA46D6EA-FE80-4DEE-923A-1541234A13A8}" name="Tab name"/>
    <tableColumn id="1" xr3:uid="{B0F8C31D-6E0F-4AB6-BECE-77D90338E17E}" name="Field label"/>
    <tableColumn id="2" xr3:uid="{8B1AF82A-09EA-44D6-A31D-E58A84ABAC51}" name="Value" dataDxfId="1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3.bin"/><Relationship Id="rId1" Type="http://schemas.openxmlformats.org/officeDocument/2006/relationships/hyperlink" Target="http://www.ghgprotocol.org/corporate-standard" TargetMode="External"/><Relationship Id="rId4"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printerSettings" Target="../printerSettings/printerSettings5.bin"/><Relationship Id="rId1" Type="http://schemas.openxmlformats.org/officeDocument/2006/relationships/hyperlink" Target="https://www.gov.uk/government/publications/environmental-reporting-guidelines-including-mandatory-greenhouse-gas-emissions-reporting-guidance" TargetMode="External"/><Relationship Id="rId4" Type="http://schemas.openxmlformats.org/officeDocument/2006/relationships/comments" Target="../comments5.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6.bin"/><Relationship Id="rId1" Type="http://schemas.openxmlformats.org/officeDocument/2006/relationships/hyperlink" Target="https://webstore.iea.org/" TargetMode="External"/><Relationship Id="rId4"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D392D-89A2-4B40-92F4-2A9E3F635FC9}">
  <sheetPr codeName="Sheet1"/>
  <dimension ref="A1:E11"/>
  <sheetViews>
    <sheetView showGridLines="0" tabSelected="1" zoomScaleNormal="100" workbookViewId="0">
      <selection activeCell="B3" sqref="B3"/>
    </sheetView>
  </sheetViews>
  <sheetFormatPr defaultRowHeight="15" x14ac:dyDescent="0.2"/>
  <cols>
    <col min="1" max="1" width="37.44140625" bestFit="1" customWidth="1"/>
    <col min="2" max="2" width="41.6640625" customWidth="1"/>
    <col min="3" max="3" width="14" customWidth="1"/>
    <col min="4" max="4" width="14.109375" bestFit="1" customWidth="1"/>
    <col min="5" max="5" width="21" bestFit="1" customWidth="1"/>
    <col min="6" max="6" width="15.33203125" customWidth="1"/>
  </cols>
  <sheetData>
    <row r="1" spans="1:5" ht="15.75" x14ac:dyDescent="0.25">
      <c r="A1" s="75" t="s">
        <v>0</v>
      </c>
    </row>
    <row r="2" spans="1:5" ht="15.75" thickBot="1" x14ac:dyDescent="0.25"/>
    <row r="3" spans="1:5" ht="15.75" x14ac:dyDescent="0.25">
      <c r="A3" s="87" t="s">
        <v>1</v>
      </c>
      <c r="B3" s="85"/>
    </row>
    <row r="4" spans="1:5" ht="15.75" x14ac:dyDescent="0.25">
      <c r="A4" s="88" t="s">
        <v>2</v>
      </c>
      <c r="B4" s="86"/>
    </row>
    <row r="5" spans="1:5" ht="31.5" x14ac:dyDescent="0.2">
      <c r="A5" s="89" t="s">
        <v>3</v>
      </c>
      <c r="B5" s="86"/>
      <c r="E5" s="218"/>
    </row>
    <row r="6" spans="1:5" ht="15.75" x14ac:dyDescent="0.25">
      <c r="A6" s="88" t="s">
        <v>4</v>
      </c>
      <c r="B6" s="219"/>
      <c r="C6" t="str">
        <f>IF(B6="","",IF(1-YEARFRAC(B6,DATE(YEAR(B6),12,31)+1,1)&lt;=0.5,YEAR(B6),YEAR(B6)+1))</f>
        <v/>
      </c>
    </row>
    <row r="7" spans="1:5" ht="47.25" x14ac:dyDescent="0.25">
      <c r="A7" s="155" t="s">
        <v>5</v>
      </c>
      <c r="B7" s="154"/>
    </row>
    <row r="8" spans="1:5" ht="31.5" x14ac:dyDescent="0.2">
      <c r="A8" s="157" t="s">
        <v>6</v>
      </c>
      <c r="B8" s="154"/>
    </row>
    <row r="9" spans="1:5" ht="48" thickBot="1" x14ac:dyDescent="0.3">
      <c r="A9" s="90" t="s">
        <v>7</v>
      </c>
      <c r="B9" s="156"/>
    </row>
    <row r="10" spans="1:5" x14ac:dyDescent="0.2">
      <c r="A10" t="str">
        <f>IF(B9="Yes","Note: you must exclude the energy consumed by activities whose emissions are reported under the UK ETS scheme","")</f>
        <v/>
      </c>
    </row>
    <row r="11" spans="1:5" x14ac:dyDescent="0.2">
      <c r="A11" t="s">
        <v>8</v>
      </c>
      <c r="B11" s="229">
        <f>COUNTA(B3:B9)/7</f>
        <v>0</v>
      </c>
    </row>
  </sheetData>
  <conditionalFormatting sqref="B11">
    <cfRule type="dataBar" priority="1">
      <dataBar>
        <cfvo type="num" val="0"/>
        <cfvo type="num" val="1"/>
        <color theme="9" tint="0.79998168889431442"/>
      </dataBar>
      <extLst>
        <ext xmlns:x14="http://schemas.microsoft.com/office/spreadsheetml/2009/9/main" uri="{B025F937-C7B1-47D3-B67F-A62EFF666E3E}">
          <x14:id>{B5F609DD-1333-4ACD-B897-CEB51685BBE5}</x14:id>
        </ext>
      </extLst>
    </cfRule>
  </conditionalFormatting>
  <dataValidations xWindow="596" yWindow="455" count="7">
    <dataValidation type="list" allowBlank="1" showInputMessage="1" showErrorMessage="1" sqref="B9" xr:uid="{622BD940-8FF1-4631-B388-A8E753DCE51E}">
      <formula1>"No, Yes"</formula1>
    </dataValidation>
    <dataValidation allowBlank="1" showInputMessage="1" showErrorMessage="1" promptTitle="Facility name" prompt="If you don't yet know the facility identifier, please enter the address of the facility." sqref="B5" xr:uid="{055DED02-C470-47DF-83DE-357E23D80B70}"/>
    <dataValidation allowBlank="1" showInputMessage="1" showErrorMessage="1" promptTitle="Facility name" prompt="If you don't yet know the facility identifier, please enter the name of the facility." sqref="B4" xr:uid="{053A7E93-9DCC-4B22-8DD7-61D0C60482AA}"/>
    <dataValidation allowBlank="1" showInputMessage="1" showErrorMessage="1" promptTitle="Facility identifier" prompt="Enter the facility identifier as it appears on the Manage your Climate Change Agreements service." sqref="B3" xr:uid="{6571C18E-0CF1-433A-A0A1-432532A726AA}"/>
    <dataValidation type="date" allowBlank="1" showInputMessage="1" showErrorMessage="1" promptTitle="Base year start date" prompt="Enter the start date for the 12-month period of energy data for this facility.  This must be between 1 January 2022 and 31 December 2030." sqref="B6" xr:uid="{B015B93A-F07F-4B43-86E3-97507152944C}">
      <formula1>44562</formula1>
      <formula2>47848</formula2>
    </dataValidation>
    <dataValidation type="list" allowBlank="1" showInputMessage="1" showErrorMessage="1" promptTitle="Target type" prompt="Choose the type of improvement target for the agreement that contains this facility from ENERGY or CARBON" sqref="B7" xr:uid="{73A9A66E-0C31-44F9-A8D7-484C893554BD}">
      <formula1>"ENERGY, CARBON"</formula1>
    </dataValidation>
    <dataValidation type="list" allowBlank="1" showInputMessage="1" showErrorMessage="1" promptTitle="Reporting unit" prompt="Choose the appropriate reporting unit for this facility based on the target type:_x000a_ENERGY: kWh, MWh or GJ_x000a_CARBON: kgC or tonneC" sqref="B8" xr:uid="{D012A202-01E7-4ED7-9C89-ADD40E6B7CFC}">
      <formula1>INDIRECT(targetType)</formula1>
    </dataValidation>
  </dataValidation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B5F609DD-1333-4ACD-B897-CEB51685BBE5}">
            <x14:dataBar minLength="0" maxLength="100" gradient="0">
              <x14:cfvo type="num">
                <xm:f>0</xm:f>
              </x14:cfvo>
              <x14:cfvo type="num">
                <xm:f>1</xm:f>
              </x14:cfvo>
              <x14:negativeFillColor rgb="FFFF0000"/>
              <x14:axisColor rgb="FF000000"/>
            </x14:dataBar>
          </x14:cfRule>
          <xm:sqref>B11</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28AA6-0202-4859-9A24-B9C9237F0680}">
  <sheetPr codeName="Sheet2"/>
  <dimension ref="A1:L31"/>
  <sheetViews>
    <sheetView showGridLines="0" zoomScaleNormal="100" workbookViewId="0">
      <pane ySplit="3" topLeftCell="A4" activePane="bottomLeft" state="frozen"/>
      <selection pane="bottomLeft" activeCell="B4" sqref="B4:B7"/>
    </sheetView>
  </sheetViews>
  <sheetFormatPr defaultRowHeight="15" x14ac:dyDescent="0.2"/>
  <cols>
    <col min="1" max="1" width="63.77734375" customWidth="1"/>
    <col min="2" max="2" width="18.88671875" bestFit="1" customWidth="1"/>
    <col min="3" max="3" width="14" bestFit="1" customWidth="1"/>
    <col min="4" max="4" width="14.109375" bestFit="1" customWidth="1"/>
    <col min="5" max="5" width="18.109375" bestFit="1" customWidth="1"/>
    <col min="6" max="6" width="9.88671875" bestFit="1" customWidth="1"/>
    <col min="8" max="8" width="9.88671875" bestFit="1" customWidth="1"/>
    <col min="9" max="9" width="13.5546875" bestFit="1" customWidth="1"/>
    <col min="11" max="11" width="12.44140625" bestFit="1" customWidth="1"/>
    <col min="12" max="12" width="12" bestFit="1" customWidth="1"/>
  </cols>
  <sheetData>
    <row r="1" spans="1:12" ht="15.75" x14ac:dyDescent="0.25">
      <c r="A1" s="75" t="str">
        <f>"Complete the details in the table for each energy type consumed during the 12 month base year period "&amp;IF('Facility details'!B6&lt;&gt;"","(beginning "&amp;TEXT('Facility details'!B6,"dd/mm/yyyy")&amp;")","")</f>
        <v xml:space="preserve">Complete the details in the table for each energy type consumed during the 12 month base year period </v>
      </c>
    </row>
    <row r="2" spans="1:12" ht="4.5" customHeight="1" x14ac:dyDescent="0.25">
      <c r="A2" s="75"/>
    </row>
    <row r="3" spans="1:12" ht="47.25" x14ac:dyDescent="0.2">
      <c r="A3" s="158" t="s">
        <v>9</v>
      </c>
      <c r="B3" s="159" t="str">
        <f>"DELIVERED base year ENERGY (excluding ETS) "&amp;IF(targetType="ENERGY",reportingUnits,"kWh")</f>
        <v>DELIVERED base year ENERGY (excluding ETS) kWh</v>
      </c>
      <c r="C3" s="159" t="s">
        <v>10</v>
      </c>
      <c r="D3" s="159" t="str">
        <f>"Primary carbon emission factor kgCe/"&amp;IF(targetType="ENERGY",reportingUnits,"kWh")</f>
        <v>Primary carbon emission factor kgCe/kWh</v>
      </c>
      <c r="E3" s="159" t="str">
        <f>"PRIMARY base year "&amp;targetType&amp;" (excluding ETS) "&amp;reportingUnits</f>
        <v xml:space="preserve">PRIMARY base year  (excluding ETS) </v>
      </c>
      <c r="F3" s="160" t="s">
        <v>11</v>
      </c>
    </row>
    <row r="4" spans="1:12" ht="15.75" x14ac:dyDescent="0.2">
      <c r="A4" s="161" t="s">
        <v>12</v>
      </c>
      <c r="B4" s="186"/>
      <c r="C4" s="214">
        <v>2.1</v>
      </c>
      <c r="D4" s="162" cm="1">
        <f t="array" ref="D4">0.21097*12/44/'Base year fuel types'!$C4
*_xlfn.IFS(
reportingUnits="MWh",1000,
reportingUnits="GJ",1000/3.6,
OR(reportingUnits="kWh",reportingUnits="kgC",reportingUnits="tonneC",reportingUnits=""),1
)</f>
        <v>2.7398701298701294E-2</v>
      </c>
      <c r="E4" s="163">
        <f>'Base year fuel types'!$B4*'Base year fuel types'!$C4*IF(targetType="CARBON",D4,1)</f>
        <v>0</v>
      </c>
      <c r="F4" s="164">
        <f>'Base year fuel types'!$E4*IF(targetType="CARBON",1,'Base year fuel types'!$D4)*44/12/1000</f>
        <v>0</v>
      </c>
      <c r="H4" s="151"/>
    </row>
    <row r="5" spans="1:12" ht="15.75" x14ac:dyDescent="0.2">
      <c r="A5" s="161" t="s">
        <v>13</v>
      </c>
      <c r="B5" s="186"/>
      <c r="C5" s="214">
        <v>1</v>
      </c>
      <c r="D5" s="162">
        <v>0</v>
      </c>
      <c r="E5" s="163">
        <f>'Base year fuel types'!$B5*'Base year fuel types'!$C5*IF(targetType="CARBON",D5,1)</f>
        <v>0</v>
      </c>
      <c r="F5" s="164">
        <f>'Base year fuel types'!$E5*IF(targetType="CARBON",1,'Base year fuel types'!$D5)*44/12/1000</f>
        <v>0</v>
      </c>
      <c r="H5" s="151"/>
    </row>
    <row r="6" spans="1:12" ht="15.75" x14ac:dyDescent="0.25">
      <c r="A6" s="165" t="s">
        <v>14</v>
      </c>
      <c r="B6" s="186"/>
      <c r="C6" s="215">
        <v>1</v>
      </c>
      <c r="D6" s="166" cm="1">
        <f t="array" ref="D6">Fuels!F42*12/44
*_xlfn.IFS(
reportingUnits="MWh",1000,
reportingUnits="GJ",1000/3.6,
OR(reportingUnits="kWh",reportingUnits="kgC",reportingUnits="tonneC",reportingUnits=""),1
)</f>
        <v>4.9688181818181819E-2</v>
      </c>
      <c r="E6" s="163">
        <f>'Base year fuel types'!$B6*'Base year fuel types'!$C6*IF(targetType="CARBON",D6,1)</f>
        <v>0</v>
      </c>
      <c r="F6" s="164">
        <f>'Base year fuel types'!$E6*IF(targetType="CARBON",1,'Base year fuel types'!$D6)*44/12/1000</f>
        <v>0</v>
      </c>
      <c r="H6" s="151"/>
    </row>
    <row r="7" spans="1:12" ht="15.75" x14ac:dyDescent="0.25">
      <c r="A7" s="165" t="s">
        <v>15</v>
      </c>
      <c r="B7" s="187"/>
      <c r="C7" s="215">
        <v>1</v>
      </c>
      <c r="D7" s="166" cm="1">
        <f t="array" ref="D7">Fuels!F82*12/44
*_xlfn.IFS(
reportingUnits="MWh",1000,
reportingUnits="GJ",1000/3.6,
OR(reportingUnits="kWh",reportingUnits="kgC",reportingUnits="tonneC",reportingUnits=""),1
)</f>
        <v>7.2842727272727267E-2</v>
      </c>
      <c r="E7" s="163">
        <f>'Base year fuel types'!$B7*'Base year fuel types'!$C7*IF(targetType="CARBON",D7,1)</f>
        <v>0</v>
      </c>
      <c r="F7" s="164">
        <f>'Base year fuel types'!$E7*IF(targetType="CARBON",1,'Base year fuel types'!$D7)*44/12/1000</f>
        <v>0</v>
      </c>
    </row>
    <row r="8" spans="1:12" ht="15.75" x14ac:dyDescent="0.25">
      <c r="A8" s="76" t="s">
        <v>16</v>
      </c>
      <c r="B8" s="187"/>
      <c r="C8" s="215">
        <v>1</v>
      </c>
      <c r="D8" s="166" cm="1">
        <f t="array" ref="D8">Fuels!F133*12/44
*_xlfn.IFS(
reportingUnits="MWh",1000,
reportingUnits="GJ",1000/3.6,
OR(reportingUnits="kWh",reportingUnits="kgC",reportingUnits="tonneC",reportingUnits=""),1
)</f>
        <v>8.7586363636363629E-2</v>
      </c>
      <c r="E8" s="163">
        <f>'Base year fuel types'!$B8*'Base year fuel types'!$C8*IF(targetType="CARBON",D8,1)</f>
        <v>0</v>
      </c>
      <c r="F8" s="164">
        <f>'Base year fuel types'!$E8*IF(targetType="CARBON",1,'Base year fuel types'!$D8)*44/12/1000</f>
        <v>0</v>
      </c>
    </row>
    <row r="9" spans="1:12" ht="15.75" x14ac:dyDescent="0.25">
      <c r="A9" s="165" t="s">
        <v>17</v>
      </c>
      <c r="B9" s="187"/>
      <c r="C9" s="215">
        <v>1</v>
      </c>
      <c r="D9" s="166" cm="1">
        <f t="array" ref="D9">0.117
*_xlfn.IFS(
reportingUnits="MWh",1000,
reportingUnits="GJ",1000/3.6,
OR(reportingUnits="kWh",reportingUnits="kgC",reportingUnits="tonneC",reportingUnits=""),1
)</f>
        <v>0.11700000000000001</v>
      </c>
      <c r="E9" s="163">
        <f>'Base year fuel types'!$B9*'Base year fuel types'!$C9*IF(targetType="CARBON",D9,1)</f>
        <v>0</v>
      </c>
      <c r="F9" s="164">
        <f>'Base year fuel types'!$E9*IF(targetType="CARBON",1,'Base year fuel types'!$D9)*44/12/1000</f>
        <v>0</v>
      </c>
      <c r="I9" s="167"/>
      <c r="K9" s="189"/>
      <c r="L9" s="190"/>
    </row>
    <row r="10" spans="1:12" ht="15.75" x14ac:dyDescent="0.25">
      <c r="A10" s="165" t="s">
        <v>18</v>
      </c>
      <c r="B10" s="187"/>
      <c r="C10" s="215">
        <v>1</v>
      </c>
      <c r="D10" s="166" cm="1">
        <f t="array" ref="D10">Fuels!F38*12/44
*_xlfn.IFS(
reportingUnits="MWh",1000,
reportingUnits="GJ",1000/3.6,
OR(reportingUnits="kWh",reportingUnits="kgC",reportingUnits="tonneC",reportingUnits=""),1
)</f>
        <v>5.8415454545454541E-2</v>
      </c>
      <c r="E10" s="163">
        <f>'Base year fuel types'!$B10*'Base year fuel types'!$C10*IF(targetType="CARBON",D10,1)</f>
        <v>0</v>
      </c>
      <c r="F10" s="164">
        <f>'Base year fuel types'!$E10*IF(targetType="CARBON",1,'Base year fuel types'!$D10)*44/12/1000</f>
        <v>0</v>
      </c>
      <c r="I10" s="167"/>
      <c r="K10" s="189"/>
      <c r="L10" s="190"/>
    </row>
    <row r="11" spans="1:12" ht="15.75" x14ac:dyDescent="0.25">
      <c r="A11" s="165" t="s">
        <v>19</v>
      </c>
      <c r="B11" s="187"/>
      <c r="C11" s="215">
        <v>1</v>
      </c>
      <c r="D11" s="166" cm="1">
        <f t="array" ref="D11">0.0545
*_xlfn.IFS(
reportingUnits="MWh",1000,
reportingUnits="GJ",1000/3.6,
OR(reportingUnits="kWh",reportingUnits="kgC",reportingUnits="tonneC",reportingUnits=""),1
)</f>
        <v>5.45E-2</v>
      </c>
      <c r="E11" s="163">
        <f>'Base year fuel types'!$B11*'Base year fuel types'!$C11*IF(targetType="CARBON",D11,1)</f>
        <v>0</v>
      </c>
      <c r="F11" s="164">
        <f>'Base year fuel types'!$E11*IF(targetType="CARBON",1,'Base year fuel types'!$D11)*44/12/1000</f>
        <v>0</v>
      </c>
      <c r="I11" s="167"/>
      <c r="K11" s="189"/>
      <c r="L11" s="190"/>
    </row>
    <row r="12" spans="1:12" ht="15.75" x14ac:dyDescent="0.25">
      <c r="A12" s="76" t="s">
        <v>20</v>
      </c>
      <c r="B12" s="187"/>
      <c r="C12" s="215">
        <v>1</v>
      </c>
      <c r="D12" s="166" cm="1">
        <f t="array" ref="D12">Fuels!F70*12/44
*_xlfn.IFS(
reportingUnits="MWh",1000,
reportingUnits="GJ",1000/3.6,
OR(reportingUnits="kWh",reportingUnits="kgC",reportingUnits="tonneC",reportingUnits=""),1
)</f>
        <v>6.697363636363636E-2</v>
      </c>
      <c r="E12" s="163">
        <f>'Base year fuel types'!$B12*'Base year fuel types'!$C12*IF(targetType="CARBON",D12,1)</f>
        <v>0</v>
      </c>
      <c r="F12" s="164">
        <f>'Base year fuel types'!$E12*IF(targetType="CARBON",1,'Base year fuel types'!$D12)*44/12/1000</f>
        <v>0</v>
      </c>
    </row>
    <row r="13" spans="1:12" ht="15.75" x14ac:dyDescent="0.25">
      <c r="A13" s="76" t="s">
        <v>21</v>
      </c>
      <c r="B13" s="187"/>
      <c r="C13" s="215">
        <v>1</v>
      </c>
      <c r="D13" s="166" cm="1">
        <f t="array" ref="D13">Fuels!F98*12/44
*_xlfn.IFS(
reportingUnits="MWh",1000,
reportingUnits="GJ",1000/3.6,
OR(reportingUnits="kWh",reportingUnits="kgC",reportingUnits="tonneC",reportingUnits=""),1
)</f>
        <v>6.1568181818181821E-2</v>
      </c>
      <c r="E13" s="163">
        <f>'Base year fuel types'!$B13*'Base year fuel types'!$C13*IF(targetType="CARBON",D13,1)</f>
        <v>0</v>
      </c>
      <c r="F13" s="164">
        <f>'Base year fuel types'!$E13*IF(targetType="CARBON",1,'Base year fuel types'!$D13)*44/12/1000</f>
        <v>0</v>
      </c>
    </row>
    <row r="14" spans="1:12" ht="15.75" x14ac:dyDescent="0.25">
      <c r="A14" s="76" t="s">
        <v>22</v>
      </c>
      <c r="B14" s="187"/>
      <c r="C14" s="215">
        <v>1</v>
      </c>
      <c r="D14" s="166" cm="1">
        <f t="array" ref="D14">Fuels!F86*12/44
*_xlfn.IFS(
reportingUnits="MWh",1000,
reportingUnits="GJ",1000/3.6,
OR(reportingUnits="kWh",reportingUnits="kgC",reportingUnits="tonneC",reportingUnits=""),1
)</f>
        <v>6.9160909090909092E-2</v>
      </c>
      <c r="E14" s="163">
        <f>'Base year fuel types'!$B14*'Base year fuel types'!$C14*IF(targetType="CARBON",D14,1)</f>
        <v>0</v>
      </c>
      <c r="F14" s="164">
        <f>'Base year fuel types'!$E14*IF(targetType="CARBON",1,'Base year fuel types'!$D14)*44/12/1000</f>
        <v>0</v>
      </c>
    </row>
    <row r="15" spans="1:12" ht="15.75" x14ac:dyDescent="0.25">
      <c r="A15" s="165" t="s">
        <v>23</v>
      </c>
      <c r="B15" s="187"/>
      <c r="C15" s="215">
        <v>1</v>
      </c>
      <c r="D15" s="166" cm="1">
        <f t="array" ref="D15">Fuels!F94*12/44
*_xlfn.IFS(
reportingUnits="MWh",1000,
reportingUnits="GJ",1000/3.6,
OR(reportingUnits="kWh",reportingUnits="kgC",reportingUnits="tonneC",reportingUnits=""),1
)</f>
        <v>6.4265454545454542E-2</v>
      </c>
      <c r="E15" s="163">
        <f>'Base year fuel types'!$B15*'Base year fuel types'!$C15*IF(targetType="CARBON",D15,1)</f>
        <v>0</v>
      </c>
      <c r="F15" s="164">
        <f>'Base year fuel types'!$E15*IF(targetType="CARBON",1,'Base year fuel types'!$D15)*44/12/1000</f>
        <v>0</v>
      </c>
    </row>
    <row r="16" spans="1:12" ht="15.75" x14ac:dyDescent="0.25">
      <c r="A16" s="165" t="s">
        <v>24</v>
      </c>
      <c r="B16" s="187"/>
      <c r="C16" s="215">
        <v>1</v>
      </c>
      <c r="D16" s="166" cm="1">
        <f t="array" ref="D16">Fuels!F145*12/44
*_xlfn.IFS(
reportingUnits="MWh",1000,
reportingUnits="GJ",1000/3.6,
OR(reportingUnits="kWh",reportingUnits="kgC",reportingUnits="tonneC",reportingUnits=""),1
)</f>
        <v>9.2719090909090904E-2</v>
      </c>
      <c r="E16" s="163">
        <f>'Base year fuel types'!$B16*'Base year fuel types'!$C16*IF(targetType="CARBON",D16,1)</f>
        <v>0</v>
      </c>
      <c r="F16" s="164">
        <f>'Base year fuel types'!$E16*IF(targetType="CARBON",1,'Base year fuel types'!$D16)*44/12/1000</f>
        <v>0</v>
      </c>
    </row>
    <row r="17" spans="1:6" ht="15.75" x14ac:dyDescent="0.25">
      <c r="A17" s="76" t="s">
        <v>25</v>
      </c>
      <c r="B17" s="187"/>
      <c r="C17" s="215">
        <v>1</v>
      </c>
      <c r="D17" s="166" cm="1">
        <f t="array" ref="D17">Fuels!F50*12/44
*_xlfn.IFS(
reportingUnits="MWh",1000,
reportingUnits="GJ",1000/3.6,
OR(reportingUnits="kWh",reportingUnits="kgC",reportingUnits="tonneC",reportingUnits=""),1
)</f>
        <v>4.9922727272727278E-2</v>
      </c>
      <c r="E17" s="163">
        <f>'Base year fuel types'!$B17*'Base year fuel types'!$C17*IF(targetType="CARBON",D17,1)</f>
        <v>0</v>
      </c>
      <c r="F17" s="164">
        <f>'Base year fuel types'!$E17*IF(targetType="CARBON",1,'Base year fuel types'!$D17)*44/12/1000</f>
        <v>0</v>
      </c>
    </row>
    <row r="18" spans="1:6" x14ac:dyDescent="0.2">
      <c r="A18" s="77" t="s">
        <v>26</v>
      </c>
      <c r="B18" s="187"/>
      <c r="C18" s="215">
        <v>1</v>
      </c>
      <c r="D18" s="188"/>
      <c r="E18" s="163">
        <f>'Base year fuel types'!$B18*'Base year fuel types'!$C18*IF(targetType="CARBON",D18,1)</f>
        <v>0</v>
      </c>
      <c r="F18" s="164">
        <f>'Base year fuel types'!$E18*IF(targetType="CARBON",1,'Base year fuel types'!$D18)*44/12/1000</f>
        <v>0</v>
      </c>
    </row>
    <row r="19" spans="1:6" x14ac:dyDescent="0.2">
      <c r="A19" s="77" t="s">
        <v>27</v>
      </c>
      <c r="B19" s="187"/>
      <c r="C19" s="215">
        <v>1</v>
      </c>
      <c r="D19" s="188"/>
      <c r="E19" s="163">
        <f>'Base year fuel types'!$B19*'Base year fuel types'!$C19*IF(targetType="CARBON",D19,1)</f>
        <v>0</v>
      </c>
      <c r="F19" s="164">
        <f>'Base year fuel types'!$E19*IF(targetType="CARBON",1,'Base year fuel types'!$D19)*44/12/1000</f>
        <v>0</v>
      </c>
    </row>
    <row r="20" spans="1:6" x14ac:dyDescent="0.2">
      <c r="A20" s="77" t="s">
        <v>28</v>
      </c>
      <c r="B20" s="187"/>
      <c r="C20" s="215">
        <v>1</v>
      </c>
      <c r="D20" s="188"/>
      <c r="E20" s="163">
        <f>'Base year fuel types'!$B20*'Base year fuel types'!$C20*IF(targetType="CARBON",D20,1)</f>
        <v>0</v>
      </c>
      <c r="F20" s="164">
        <f>'Base year fuel types'!$E20*IF(targetType="CARBON",1,'Base year fuel types'!$D20)*44/12/1000</f>
        <v>0</v>
      </c>
    </row>
    <row r="21" spans="1:6" x14ac:dyDescent="0.2">
      <c r="A21" s="77" t="s">
        <v>29</v>
      </c>
      <c r="B21" s="187"/>
      <c r="C21" s="215">
        <v>1</v>
      </c>
      <c r="D21" s="188"/>
      <c r="E21" s="163">
        <f>'Base year fuel types'!$B21*'Base year fuel types'!$C21*IF(targetType="CARBON",D21,1)</f>
        <v>0</v>
      </c>
      <c r="F21" s="164">
        <f>'Base year fuel types'!$E21*IF(targetType="CARBON",1,'Base year fuel types'!$D21)*44/12/1000</f>
        <v>0</v>
      </c>
    </row>
    <row r="22" spans="1:6" x14ac:dyDescent="0.2">
      <c r="A22" s="77" t="s">
        <v>30</v>
      </c>
      <c r="B22" s="187"/>
      <c r="C22" s="215">
        <v>1</v>
      </c>
      <c r="D22" s="188"/>
      <c r="E22" s="163">
        <f>'Base year fuel types'!$B22*'Base year fuel types'!$C22*IF(targetType="CARBON",D22,1)</f>
        <v>0</v>
      </c>
      <c r="F22" s="164">
        <f>'Base year fuel types'!$E22*IF(targetType="CARBON",1,'Base year fuel types'!$D22)*44/12/1000</f>
        <v>0</v>
      </c>
    </row>
    <row r="23" spans="1:6" x14ac:dyDescent="0.2">
      <c r="A23" s="77" t="s">
        <v>31</v>
      </c>
      <c r="B23" s="187"/>
      <c r="C23" s="215">
        <v>1</v>
      </c>
      <c r="D23" s="188"/>
      <c r="E23" s="163">
        <f>'Base year fuel types'!$B23*'Base year fuel types'!$C23*IF(targetType="CARBON",D23,1)</f>
        <v>0</v>
      </c>
      <c r="F23" s="164">
        <f>'Base year fuel types'!$E23*IF(targetType="CARBON",1,'Base year fuel types'!$D23)*44/12/1000</f>
        <v>0</v>
      </c>
    </row>
    <row r="24" spans="1:6" x14ac:dyDescent="0.2">
      <c r="A24" s="77" t="s">
        <v>32</v>
      </c>
      <c r="B24" s="187"/>
      <c r="C24" s="215">
        <v>1</v>
      </c>
      <c r="D24" s="188"/>
      <c r="E24" s="163">
        <f>'Base year fuel types'!$B24*'Base year fuel types'!$C24*IF(targetType="CARBON",D24,1)</f>
        <v>0</v>
      </c>
      <c r="F24" s="164">
        <f>'Base year fuel types'!$E24*IF(targetType="CARBON",1,'Base year fuel types'!$D24)*44/12/1000</f>
        <v>0</v>
      </c>
    </row>
    <row r="25" spans="1:6" x14ac:dyDescent="0.2">
      <c r="A25" s="77" t="s">
        <v>33</v>
      </c>
      <c r="B25" s="187"/>
      <c r="C25" s="215">
        <v>1</v>
      </c>
      <c r="D25" s="188"/>
      <c r="E25" s="163">
        <f>'Base year fuel types'!$B25*'Base year fuel types'!$C25*IF(targetType="CARBON",D25,1)</f>
        <v>0</v>
      </c>
      <c r="F25" s="164">
        <f>'Base year fuel types'!$E25*IF(targetType="CARBON",1,'Base year fuel types'!$D25)*44/12/1000</f>
        <v>0</v>
      </c>
    </row>
    <row r="26" spans="1:6" x14ac:dyDescent="0.2">
      <c r="A26" s="77" t="s">
        <v>34</v>
      </c>
      <c r="B26" s="187"/>
      <c r="C26" s="215">
        <v>1</v>
      </c>
      <c r="D26" s="188"/>
      <c r="E26" s="163">
        <f>'Base year fuel types'!$B26*'Base year fuel types'!$C26*IF(targetType="CARBON",D26,1)</f>
        <v>0</v>
      </c>
      <c r="F26" s="164">
        <f>'Base year fuel types'!$E26*IF(targetType="CARBON",1,'Base year fuel types'!$D26)*44/12/1000</f>
        <v>0</v>
      </c>
    </row>
    <row r="27" spans="1:6" x14ac:dyDescent="0.2">
      <c r="A27" s="77" t="s">
        <v>35</v>
      </c>
      <c r="B27" s="187"/>
      <c r="C27" s="215">
        <v>1</v>
      </c>
      <c r="D27" s="188"/>
      <c r="E27" s="163">
        <f>'Base year fuel types'!$B27*'Base year fuel types'!$C27*IF(targetType="CARBON",D27,1)</f>
        <v>0</v>
      </c>
      <c r="F27" s="164">
        <f>'Base year fuel types'!$E27*IF(targetType="CARBON",1,'Base year fuel types'!$D27)*44/12/1000</f>
        <v>0</v>
      </c>
    </row>
    <row r="28" spans="1:6" ht="15.75" thickBot="1" x14ac:dyDescent="0.25">
      <c r="A28" s="77" t="s">
        <v>36</v>
      </c>
      <c r="B28" s="187"/>
      <c r="C28" s="215">
        <v>1</v>
      </c>
      <c r="D28" s="188"/>
      <c r="E28" s="163">
        <f>'Base year fuel types'!$B28*'Base year fuel types'!$C28*IF(targetType="CARBON",D28,1)</f>
        <v>0</v>
      </c>
      <c r="F28" s="164">
        <f>'Base year fuel types'!$E28*IF(targetType="CARBON",1,'Base year fuel types'!$D28)*44/12/1000</f>
        <v>0</v>
      </c>
    </row>
    <row r="29" spans="1:6" ht="16.5" thickTop="1" x14ac:dyDescent="0.25">
      <c r="A29" s="78" t="s">
        <v>37</v>
      </c>
      <c r="B29" s="211">
        <f>SUBTOTAL(109,'Base year fuel types'!$B$4:$B$28)</f>
        <v>0</v>
      </c>
      <c r="C29" s="212"/>
      <c r="D29" s="212"/>
      <c r="E29" s="211">
        <f>SUBTOTAL(109,'Base year fuel types'!$E$4:$E$28)</f>
        <v>0</v>
      </c>
      <c r="F29" s="213">
        <f>SUBTOTAL(109,'Base year fuel types'!$F$4:$F$28)</f>
        <v>0</v>
      </c>
    </row>
    <row r="31" spans="1:6" x14ac:dyDescent="0.2">
      <c r="A31" s="82" t="s">
        <v>38</v>
      </c>
      <c r="D31" s="231" t="str">
        <f>IFERROR(SUMPRODUCT('Base year fuel types'!E4:E28,'Base year fuel types'!D4:D28)/SUM('Base year fuel types'!E4:E28),"")</f>
        <v/>
      </c>
      <c r="E31" s="82" t="str">
        <f>"kgCe/"&amp;IF(targetType="ENERGY",reportingUnits,"kWh")</f>
        <v>kgCe/kWh</v>
      </c>
    </row>
  </sheetData>
  <dataValidations xWindow="695" yWindow="462" count="3">
    <dataValidation allowBlank="1" showInputMessage="1" showErrorMessage="1" promptTitle="Carbon emission factor" prompt="Enter the carbon emission factor for this fuel type ensuring the units match with those shown in cell D3, i.e.:_x000a_- kgCe/kWh_x000a_- kgCe/MWh_x000a_- kgCe/GJ" sqref="D18:D28" xr:uid="{3DBDCFCA-7262-45B3-B7D4-3F3309DF58E6}"/>
    <dataValidation allowBlank="1" showInputMessage="1" showErrorMessage="1" promptTitle="Name of &quot;Other Fuel&quot;" prompt="Replace the default &quot;Other Fuel xx&quot; name with the ACTUAL name of this fuel type, e.g. nitrogen cooling, wood chips, liquid biofuel, etc." sqref="A18:A28" xr:uid="{24C21C69-7F5D-40C6-9428-F2A2978859EF}"/>
    <dataValidation allowBlank="1" showInputMessage="1" showErrorMessage="1" promptTitle="DELIVERED amount of energy" prompt="Enter the DELIVERED amount of energy used by this facility during the base year. _x000a_Ensure you have converted the amount into energy units matching those shown in (cell B3), i.e.:_x000a_- kWh (kilowatt-hour)_x000a_- MWh (megawatt-hour)_x000a_- GJ (gigajoule)" sqref="B4:B28" xr:uid="{B4A63078-1324-4924-A5DA-8CC4806D9ACD}"/>
  </dataValidation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9C776-5E73-4906-962E-B5E6A7D2E673}">
  <sheetPr codeName="Sheet3"/>
  <dimension ref="A1:H27"/>
  <sheetViews>
    <sheetView workbookViewId="0">
      <pane ySplit="3" topLeftCell="A4" activePane="bottomLeft" state="frozen"/>
      <selection pane="bottomLeft" activeCell="G5" sqref="G5"/>
    </sheetView>
  </sheetViews>
  <sheetFormatPr defaultRowHeight="15" x14ac:dyDescent="0.2"/>
  <cols>
    <col min="1" max="1" width="38.6640625" customWidth="1"/>
    <col min="2" max="2" width="21.33203125" customWidth="1"/>
    <col min="3" max="3" width="13.44140625" bestFit="1" customWidth="1"/>
    <col min="4" max="5" width="16.6640625" customWidth="1"/>
    <col min="6" max="6" width="18.6640625" bestFit="1" customWidth="1"/>
    <col min="7" max="7" width="21.21875" customWidth="1"/>
    <col min="8" max="19" width="15.77734375" customWidth="1"/>
  </cols>
  <sheetData>
    <row r="1" spans="1:8" ht="15.75" x14ac:dyDescent="0.25">
      <c r="A1" s="75" t="str">
        <f>"Complete the table below to attribute all primary "&amp;targetType&amp;" in the base year to the FIXED and/or VARIABLE components at this facility"</f>
        <v>Complete the table below to attribute all primary  in the base year to the FIXED and/or VARIABLE components at this facility</v>
      </c>
    </row>
    <row r="2" spans="1:8" ht="15.75" thickBot="1" x14ac:dyDescent="0.25"/>
    <row r="3" spans="1:8" ht="32.25" thickBot="1" x14ac:dyDescent="0.25">
      <c r="A3" s="158" t="str">
        <f>targetType&amp;" component"</f>
        <v xml:space="preserve"> component</v>
      </c>
      <c r="B3" s="159" t="s">
        <v>39</v>
      </c>
      <c r="C3" s="159" t="s">
        <v>40</v>
      </c>
      <c r="D3" s="159" t="s">
        <v>41</v>
      </c>
      <c r="E3" s="159" t="s">
        <v>42</v>
      </c>
      <c r="F3" s="159" t="str">
        <f>targetType&amp;" intensity "&amp;reportingUnits&amp;"/throughput unit"</f>
        <v xml:space="preserve"> intensity /throughput unit</v>
      </c>
      <c r="G3" s="194" t="str">
        <f>"Primary "&amp;targetType&amp;" during base year"</f>
        <v>Primary  during base year</v>
      </c>
    </row>
    <row r="4" spans="1:8" ht="16.5" thickBot="1" x14ac:dyDescent="0.3">
      <c r="A4" s="172" t="str">
        <f>"Fixed "&amp;targetType</f>
        <v xml:space="preserve">Fixed </v>
      </c>
      <c r="B4" s="173"/>
      <c r="C4" s="173"/>
      <c r="D4" s="185"/>
      <c r="E4" s="184"/>
      <c r="F4" s="171"/>
      <c r="G4" s="195"/>
      <c r="H4" s="191" t="s">
        <v>43</v>
      </c>
    </row>
    <row r="5" spans="1:8" ht="16.5" thickBot="1" x14ac:dyDescent="0.3">
      <c r="A5" s="170" t="str">
        <f>"Variable "&amp;targetType&amp;" (Site total)"</f>
        <v>Variable  (Site total)</v>
      </c>
      <c r="B5" s="171"/>
      <c r="C5" s="171"/>
      <c r="D5" s="185"/>
      <c r="E5" s="184"/>
      <c r="F5" s="185"/>
      <c r="G5" s="196">
        <f>IF(C5=facilityBaseYear,'Base year data split'!$D5*'Base year data split'!$F5,"")</f>
        <v>0</v>
      </c>
      <c r="H5" s="191" t="s">
        <v>44</v>
      </c>
    </row>
    <row r="6" spans="1:8" ht="15.75" x14ac:dyDescent="0.25">
      <c r="A6" s="174" t="str">
        <f>"Variable "&amp;targetType&amp;" ("&amp;
IF(variableProductName01&lt;&gt;"",variableProductName01,"Product group 1")
&amp;")"</f>
        <v>Variable  (Product group 1)</v>
      </c>
      <c r="B6" s="178"/>
      <c r="C6" s="178"/>
      <c r="D6" s="179"/>
      <c r="E6" s="178"/>
      <c r="F6" s="179"/>
      <c r="G6" s="197">
        <f>IF(C6=facilityBaseYear,'Base year data split'!$D6*'Base year data split'!$F6,"")</f>
        <v>0</v>
      </c>
      <c r="H6" s="191" t="s">
        <v>45</v>
      </c>
    </row>
    <row r="7" spans="1:8" x14ac:dyDescent="0.2">
      <c r="A7" s="175" t="str">
        <f>"Variable "&amp;targetType&amp;" ("&amp;
IF(variableProductName02&lt;&gt;"",variableProductName02,"Product group 2")
&amp;")"</f>
        <v>Variable  (Product group 2)</v>
      </c>
      <c r="B7" s="180"/>
      <c r="C7" s="180"/>
      <c r="D7" s="181"/>
      <c r="E7" s="180"/>
      <c r="F7" s="181"/>
      <c r="G7" s="198">
        <f>IF(C7=facilityBaseYear,'Base year data split'!$D7*'Base year data split'!$F7,"")</f>
        <v>0</v>
      </c>
    </row>
    <row r="8" spans="1:8" x14ac:dyDescent="0.2">
      <c r="A8" s="176" t="str">
        <f>"Variable "&amp;targetType&amp;" ("&amp;
IF(variableProductName03&lt;&gt;"",variableProductName03,"Product group 3")
&amp;")"</f>
        <v>Variable  (Product group 3)</v>
      </c>
      <c r="B8" s="180"/>
      <c r="C8" s="180"/>
      <c r="D8" s="181"/>
      <c r="E8" s="180"/>
      <c r="F8" s="181"/>
      <c r="G8" s="198">
        <f>IF(C8=facilityBaseYear,'Base year data split'!$D8*'Base year data split'!$F8,"")</f>
        <v>0</v>
      </c>
    </row>
    <row r="9" spans="1:8" x14ac:dyDescent="0.2">
      <c r="A9" s="176" t="str">
        <f>"Variable "&amp;targetType&amp;" ("&amp;
IF(variableProductName04&lt;&gt;"",variableProductName04,"Product group 4")
&amp;")"</f>
        <v>Variable  (Product group 4)</v>
      </c>
      <c r="B9" s="180"/>
      <c r="C9" s="180"/>
      <c r="D9" s="181"/>
      <c r="E9" s="180"/>
      <c r="F9" s="181"/>
      <c r="G9" s="198">
        <f>IF(C9=facilityBaseYear,'Base year data split'!$D9*'Base year data split'!$F9,"")</f>
        <v>0</v>
      </c>
    </row>
    <row r="10" spans="1:8" x14ac:dyDescent="0.2">
      <c r="A10" s="176" t="str">
        <f>"Variable "&amp;targetType&amp;" ("&amp;
IF(variableProductName05&lt;&gt;"",variableProductName05,"Product group 5")
&amp;")"</f>
        <v>Variable  (Product group 5)</v>
      </c>
      <c r="B10" s="180"/>
      <c r="C10" s="180"/>
      <c r="D10" s="181"/>
      <c r="E10" s="180"/>
      <c r="F10" s="181"/>
      <c r="G10" s="198">
        <f>IF(C10=facilityBaseYear,'Base year data split'!$D10*'Base year data split'!$F10,"")</f>
        <v>0</v>
      </c>
    </row>
    <row r="11" spans="1:8" x14ac:dyDescent="0.2">
      <c r="A11" s="176" t="str">
        <f>"Variable "&amp;targetType&amp;" ("&amp;
IF(variableProductName06&lt;&gt;"",variableProductName06,"Product group 6")
&amp;")"</f>
        <v>Variable  (Product group 6)</v>
      </c>
      <c r="B11" s="180"/>
      <c r="C11" s="180"/>
      <c r="D11" s="181"/>
      <c r="E11" s="180"/>
      <c r="F11" s="181"/>
      <c r="G11" s="198">
        <f>IF(C11=facilityBaseYear,'Base year data split'!$D11*'Base year data split'!$F11,"")</f>
        <v>0</v>
      </c>
    </row>
    <row r="12" spans="1:8" x14ac:dyDescent="0.2">
      <c r="A12" s="176" t="str">
        <f>"Variable "&amp;targetType&amp;" ("&amp;
IF(variableProductName07&lt;&gt;"",variableProductName07,"Product group 7")
&amp;")"</f>
        <v>Variable  (Product group 7)</v>
      </c>
      <c r="B12" s="180"/>
      <c r="C12" s="180"/>
      <c r="D12" s="181"/>
      <c r="E12" s="180"/>
      <c r="F12" s="181"/>
      <c r="G12" s="198">
        <f>IF(C12=facilityBaseYear,'Base year data split'!$D12*'Base year data split'!$F12,"")</f>
        <v>0</v>
      </c>
    </row>
    <row r="13" spans="1:8" x14ac:dyDescent="0.2">
      <c r="A13" s="176" t="str">
        <f>"Variable "&amp;targetType&amp;" ("&amp;
IF(variableProductName08&lt;&gt;"",variableProductName08,"Product group 8")
&amp;")"</f>
        <v>Variable  (Product group 8)</v>
      </c>
      <c r="B13" s="180"/>
      <c r="C13" s="180"/>
      <c r="D13" s="181"/>
      <c r="E13" s="180"/>
      <c r="F13" s="181"/>
      <c r="G13" s="198">
        <f>IF(C13=facilityBaseYear,'Base year data split'!$D13*'Base year data split'!$F13,"")</f>
        <v>0</v>
      </c>
    </row>
    <row r="14" spans="1:8" x14ac:dyDescent="0.2">
      <c r="A14" s="176" t="str">
        <f>"Variable "&amp;targetType&amp;" ("&amp;
IF(variableProductName09&lt;&gt;"",variableProductName09,"Product group 9")
&amp;")"</f>
        <v>Variable  (Product group 9)</v>
      </c>
      <c r="B14" s="180"/>
      <c r="C14" s="180"/>
      <c r="D14" s="181"/>
      <c r="E14" s="180"/>
      <c r="F14" s="181"/>
      <c r="G14" s="198">
        <f>IF(C14=facilityBaseYear,'Base year data split'!$D14*'Base year data split'!$F14,"")</f>
        <v>0</v>
      </c>
    </row>
    <row r="15" spans="1:8" x14ac:dyDescent="0.2">
      <c r="A15" s="176" t="str">
        <f>"Variable "&amp;targetType&amp;" ("&amp;
IF(variableProductName10&lt;&gt;"",variableProductName10,"Product group 10")
&amp;")"</f>
        <v>Variable  (Product group 10)</v>
      </c>
      <c r="B15" s="180"/>
      <c r="C15" s="180"/>
      <c r="D15" s="181"/>
      <c r="E15" s="180"/>
      <c r="F15" s="181"/>
      <c r="G15" s="198">
        <f>IF(C15=facilityBaseYear,'Base year data split'!$D15*'Base year data split'!$F15,"")</f>
        <v>0</v>
      </c>
    </row>
    <row r="16" spans="1:8" x14ac:dyDescent="0.2">
      <c r="A16" s="176" t="str">
        <f>"Variable "&amp;targetType&amp;" ("&amp;
IF(variableProductName11&lt;&gt;"",variableProductName11,"Product group 11")
&amp;")"</f>
        <v>Variable  (Product group 11)</v>
      </c>
      <c r="B16" s="180"/>
      <c r="C16" s="180"/>
      <c r="D16" s="181"/>
      <c r="E16" s="180"/>
      <c r="F16" s="181"/>
      <c r="G16" s="198">
        <f>IF(C16=facilityBaseYear,'Base year data split'!$D16*'Base year data split'!$F16,"")</f>
        <v>0</v>
      </c>
    </row>
    <row r="17" spans="1:8" x14ac:dyDescent="0.2">
      <c r="A17" s="176" t="str">
        <f>"Variable "&amp;targetType&amp;" ("&amp;
IF(variableProductName12&lt;&gt;"",variableProductName12,"Product group 12")
&amp;")"</f>
        <v>Variable  (Product group 12)</v>
      </c>
      <c r="B17" s="180"/>
      <c r="C17" s="180"/>
      <c r="D17" s="181"/>
      <c r="E17" s="180"/>
      <c r="F17" s="181"/>
      <c r="G17" s="198">
        <f>IF(C17=facilityBaseYear,'Base year data split'!$D17*'Base year data split'!$F17,"")</f>
        <v>0</v>
      </c>
    </row>
    <row r="18" spans="1:8" x14ac:dyDescent="0.2">
      <c r="A18" s="176" t="str">
        <f>"Variable "&amp;targetType&amp;" ("&amp;
IF(variableProductName13&lt;&gt;"",variableProductName13,"Product group 13")
&amp;")"</f>
        <v>Variable  (Product group 13)</v>
      </c>
      <c r="B18" s="180"/>
      <c r="C18" s="180"/>
      <c r="D18" s="181"/>
      <c r="E18" s="180"/>
      <c r="F18" s="181"/>
      <c r="G18" s="198">
        <f>IF(C18=facilityBaseYear,'Base year data split'!$D18*'Base year data split'!$F18,"")</f>
        <v>0</v>
      </c>
    </row>
    <row r="19" spans="1:8" x14ac:dyDescent="0.2">
      <c r="A19" s="176" t="str">
        <f>"Variable "&amp;targetType&amp;" ("&amp;
IF(variableProductName14&lt;&gt;"",variableProductName14,"Product group 14")
&amp;")"</f>
        <v>Variable  (Product group 14)</v>
      </c>
      <c r="B19" s="180"/>
      <c r="C19" s="180"/>
      <c r="D19" s="181"/>
      <c r="E19" s="180"/>
      <c r="F19" s="181"/>
      <c r="G19" s="198">
        <f>IF(C19=facilityBaseYear,'Base year data split'!$D19*'Base year data split'!$F19,"")</f>
        <v>0</v>
      </c>
    </row>
    <row r="20" spans="1:8" ht="15.75" thickBot="1" x14ac:dyDescent="0.25">
      <c r="A20" s="177" t="str">
        <f>"Variable "&amp;targetType&amp;" ("&amp;
IF(variableProductName15&lt;&gt;"",variableProductName15,"Product group 15")
&amp;")"</f>
        <v>Variable  (Product group 15)</v>
      </c>
      <c r="B20" s="182"/>
      <c r="C20" s="182"/>
      <c r="D20" s="183"/>
      <c r="E20" s="182"/>
      <c r="F20" s="183"/>
      <c r="G20" s="199">
        <f>IF(C20=facilityBaseYear,'Base year data split'!$D20*'Base year data split'!$F20,"")</f>
        <v>0</v>
      </c>
    </row>
    <row r="21" spans="1:8" ht="16.5" thickBot="1" x14ac:dyDescent="0.3">
      <c r="A21" s="192" t="s">
        <v>46</v>
      </c>
      <c r="B21" s="193"/>
      <c r="C21" s="193"/>
      <c r="D21" s="193"/>
      <c r="E21" s="193"/>
      <c r="F21" s="193"/>
      <c r="G21" s="150">
        <f>SUBTOTAL(109,'Base year data split'!$G$4:$G$20)</f>
        <v>0</v>
      </c>
    </row>
    <row r="22" spans="1:8" ht="15.75" thickBot="1" x14ac:dyDescent="0.25">
      <c r="G22" s="151"/>
    </row>
    <row r="23" spans="1:8" ht="16.5" thickBot="1" x14ac:dyDescent="0.3">
      <c r="A23" t="str">
        <f>"Total primary base year "&amp;targetType&amp;" (excluding ETS) from the ""BY data by fuel type"" tab"</f>
        <v>Total primary base year  (excluding ETS) from the "BY data by fuel type" tab</v>
      </c>
      <c r="G23" s="150">
        <f>primaryAmountAll</f>
        <v>0</v>
      </c>
      <c r="H23" t="str">
        <f>IF(reportingUnits="","",reportingUnits)</f>
        <v/>
      </c>
    </row>
    <row r="24" spans="1:8" ht="16.5" thickBot="1" x14ac:dyDescent="0.3">
      <c r="G24" s="200"/>
    </row>
    <row r="25" spans="1:8" ht="16.5" thickBot="1" x14ac:dyDescent="0.3">
      <c r="A25" t="str">
        <f>"Amount of "&amp;targetType&amp;" you need to attribute to FIXED and/or VARIABLE components in the table above"</f>
        <v>Amount of  you need to attribute to FIXED and/or VARIABLE components in the table above</v>
      </c>
      <c r="G25" s="150">
        <f>primaryAmountAll-G21</f>
        <v>0</v>
      </c>
      <c r="H25" t="str">
        <f>IF(reportingUnits="","",reportingUnits)</f>
        <v/>
      </c>
    </row>
    <row r="27" spans="1:8" x14ac:dyDescent="0.2">
      <c r="A27" t="s">
        <v>47</v>
      </c>
      <c r="G27" s="152">
        <f>IFERROR(G21/G23,0)</f>
        <v>0</v>
      </c>
    </row>
  </sheetData>
  <sheetProtection algorithmName="SHA-512" hashValue="voDh1BIQjYSnn1eqqu98xTagP5fb2Tx37ZJGJnuFDruBPq5Dq0udJApGgRZ3k9MVAAPEIH0mwbSDnuo41n1Apg==" saltValue="SEjpLe/zhl2ZZp1dC9sffw==" spinCount="100000" sheet="1" objects="1" scenarios="1"/>
  <phoneticPr fontId="46" type="noConversion"/>
  <conditionalFormatting sqref="B6:G20">
    <cfRule type="expression" dxfId="9" priority="1">
      <formula>IF($C6&lt;&gt;"",IF($C6&lt;&gt;facilityBaseYear,1,0),0)</formula>
    </cfRule>
    <cfRule type="expression" dxfId="8" priority="9">
      <formula>IF(COUNTA($D$5:$F$5)&gt;0,1,0)</formula>
    </cfRule>
  </conditionalFormatting>
  <conditionalFormatting sqref="D5:G5 B6:G20">
    <cfRule type="expression" dxfId="7" priority="4">
      <formula>IF($G$4&lt;&gt;"",IF(ROUND($G$4,0)=ROUND($G$23,0),1,0),0)</formula>
    </cfRule>
  </conditionalFormatting>
  <conditionalFormatting sqref="D5:G5">
    <cfRule type="expression" dxfId="6" priority="8">
      <formula>IF(COUNTA($B$6:$F$20)&gt;0,1,0)</formula>
    </cfRule>
  </conditionalFormatting>
  <conditionalFormatting sqref="G27">
    <cfRule type="dataBar" priority="3">
      <dataBar>
        <cfvo type="num" val="0"/>
        <cfvo type="num" val="1"/>
        <color theme="9" tint="0.79998168889431442"/>
      </dataBar>
      <extLst>
        <ext xmlns:x14="http://schemas.microsoft.com/office/spreadsheetml/2009/9/main" uri="{B025F937-C7B1-47D3-B67F-A62EFF666E3E}">
          <x14:id>{326C0950-C39C-44A3-A11F-91D2019EC207}</x14:id>
        </ext>
      </extLst>
    </cfRule>
  </conditionalFormatting>
  <conditionalFormatting sqref="H4">
    <cfRule type="expression" dxfId="5" priority="6">
      <formula>IF($G$4&lt;&gt;"",IF(ROUND($G$4,0)=ROUND($G$23,0),1,0),0)</formula>
    </cfRule>
  </conditionalFormatting>
  <conditionalFormatting sqref="H5">
    <cfRule type="expression" dxfId="4" priority="2">
      <formula>IF(COUNTA($B$6:$F$20)&gt;0,1,0)</formula>
    </cfRule>
  </conditionalFormatting>
  <conditionalFormatting sqref="H6">
    <cfRule type="expression" dxfId="3" priority="7">
      <formula>IF(COUNTA($D$5:$F$5)&gt;0,1,0)</formula>
    </cfRule>
  </conditionalFormatting>
  <dataValidations xWindow="1459" yWindow="423" count="8">
    <dataValidation allowBlank="1" showInputMessage="1" showErrorMessage="1" promptTitle="Information" prompt="This value is calculated from the base year throughput (column C) multiplied by the ENERGY or CARBON intensity (column E).  You must overwrite the calculated value if you have not entered a value in column E." sqref="G5:G20" xr:uid="{AAFA6540-BCC2-47E7-87B1-6C6AD4AB2CA5}"/>
    <dataValidation type="list" allowBlank="1" showInputMessage="1" showErrorMessage="1" promptTitle="Product group base year" prompt="Enter the specific base year for each product group." sqref="C6:C20" xr:uid="{F50F54AD-C15D-48C1-8424-D7DB5ECA071E}">
      <formula1>productBaseYear</formula1>
    </dataValidation>
    <dataValidation allowBlank="1" showInputMessage="1" showErrorMessage="1" promptTitle="Product group name" prompt="Enter a suitable name for each product group.  Consider that this name is needed to distinguish between different products in the target period report template." sqref="B6:B20" xr:uid="{CDF24084-F817-4096-8C75-1D2EF10A9BD7}"/>
    <dataValidation allowBlank="1" showInputMessage="1" showErrorMessage="1" promptTitle="Base year throughput" prompt="Enter the amount of throughput in the product's base year.  Note: the product base year may be the same as or later than the facility's base year." sqref="D7:D20 D6" xr:uid="{39BFC530-5C38-406A-8359-61EF1576B91F}"/>
    <dataValidation allowBlank="1" showInputMessage="1" showErrorMessage="1" promptTitle="Enter the intensity" prompt="Enter the amount of ENERGY used or CARBON emitted per unit of throughput for this product._x000a_You must keep evidence of how you derive this figure, e.g. the results of multi-linear regression analysis." sqref="F5:F20" xr:uid="{A567B983-BDBB-4FBA-9C26-AA18DC10E7D4}"/>
    <dataValidation allowBlank="1" showInputMessage="1" showErrorMessage="1" promptTitle="Base year throughput" prompt="Enter the total throughput in the facility base year.  _x000a_Note: If throughput is measured in multiple units, leave this row blank and use the product groups (rows 6-20) instead." sqref="D5" xr:uid="{42955C63-A3E9-4E96-AF7C-AE5D3B89504E}"/>
    <dataValidation allowBlank="1" showInputMessage="1" showErrorMessage="1" promptTitle="Base year throughput" prompt="If you are attributing ALL the facility's base year ENERGY or CARBON to this row, you MUST enter the facility's throughput in this cell." sqref="D4" xr:uid="{B65E8FC1-63BD-4D71-BBD4-223E3406FD5C}"/>
    <dataValidation allowBlank="1" showInputMessage="1" showErrorMessage="1" promptTitle="Throughput units" prompt="Enter the throughput units used for the amount entered in column D." sqref="E6:E20 E4 E5" xr:uid="{A6655DC9-3701-4889-944A-C7F2DA2065AE}"/>
  </dataValidations>
  <pageMargins left="0.7" right="0.7" top="0.75" bottom="0.75" header="0.3" footer="0.3"/>
  <ignoredErrors>
    <ignoredError sqref="G6:G20" unlockedFormula="1"/>
  </ignoredErrors>
  <legacyDrawing r:id="rId1"/>
  <extLst>
    <ext xmlns:x14="http://schemas.microsoft.com/office/spreadsheetml/2009/9/main" uri="{78C0D931-6437-407d-A8EE-F0AAD7539E65}">
      <x14:conditionalFormattings>
        <x14:conditionalFormatting xmlns:xm="http://schemas.microsoft.com/office/excel/2006/main">
          <x14:cfRule type="dataBar" id="{326C0950-C39C-44A3-A11F-91D2019EC207}">
            <x14:dataBar minLength="0" maxLength="100" gradient="0">
              <x14:cfvo type="num">
                <xm:f>0</xm:f>
              </x14:cfvo>
              <x14:cfvo type="num">
                <xm:f>1</xm:f>
              </x14:cfvo>
              <x14:negativeFillColor rgb="FFFF0000"/>
              <x14:axisColor rgb="FF000000"/>
            </x14:dataBar>
          </x14:cfRule>
          <xm:sqref>G27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0D647-69EB-44C9-AC69-14293208C72B}">
  <sheetPr codeName="Sheet5"/>
  <dimension ref="A1:C27"/>
  <sheetViews>
    <sheetView workbookViewId="0">
      <selection activeCell="B4" sqref="B4:B6"/>
    </sheetView>
  </sheetViews>
  <sheetFormatPr defaultRowHeight="15" x14ac:dyDescent="0.2"/>
  <cols>
    <col min="1" max="1" width="13.77734375" customWidth="1"/>
    <col min="2" max="2" width="19.109375" customWidth="1"/>
    <col min="3" max="3" width="12.33203125" bestFit="1" customWidth="1"/>
  </cols>
  <sheetData>
    <row r="1" spans="1:3" ht="15.75" x14ac:dyDescent="0.25">
      <c r="A1" s="75" t="s">
        <v>48</v>
      </c>
    </row>
    <row r="2" spans="1:3" ht="15.75" x14ac:dyDescent="0.25">
      <c r="A2" s="75"/>
    </row>
    <row r="3" spans="1:3" ht="15.75" x14ac:dyDescent="0.25">
      <c r="A3" t="s">
        <v>49</v>
      </c>
      <c r="B3" s="217" t="s">
        <v>50</v>
      </c>
    </row>
    <row r="4" spans="1:3" x14ac:dyDescent="0.2">
      <c r="A4" s="221" t="s">
        <v>51</v>
      </c>
      <c r="B4" s="232"/>
    </row>
    <row r="5" spans="1:3" x14ac:dyDescent="0.2">
      <c r="A5" s="221" t="s">
        <v>52</v>
      </c>
      <c r="B5" s="232"/>
    </row>
    <row r="6" spans="1:3" x14ac:dyDescent="0.2">
      <c r="A6" s="221" t="s">
        <v>53</v>
      </c>
      <c r="B6" s="232"/>
    </row>
    <row r="8" spans="1:3" x14ac:dyDescent="0.2">
      <c r="A8" t="s">
        <v>54</v>
      </c>
      <c r="B8" t="s">
        <v>50</v>
      </c>
      <c r="C8" t="s">
        <v>55</v>
      </c>
    </row>
    <row r="9" spans="1:3" x14ac:dyDescent="0.2">
      <c r="A9" s="221">
        <v>2022</v>
      </c>
      <c r="B9" s="222">
        <f>sectorTargetTP7*(Table1[[#This Row],[Year]]-2022)/4</f>
        <v>0</v>
      </c>
      <c r="C9" s="220">
        <f>IF(facilityBaseYear&gt;=Table1[[#This Row],[Year]],0,1-(1-Table1[[#This Row],[Sector commitment]])/(1-_xlfn.XLOOKUP(facilityBaseYear,Table1[Year],Table1[Sector commitment])))</f>
        <v>0</v>
      </c>
    </row>
    <row r="10" spans="1:3" x14ac:dyDescent="0.2">
      <c r="A10" s="221">
        <v>2023</v>
      </c>
      <c r="B10" s="222">
        <f>sectorTargetTP7*(Table1[[#This Row],[Year]]-2022)/4</f>
        <v>0</v>
      </c>
      <c r="C10" s="220">
        <f>IF(facilityBaseYear&gt;=Table1[[#This Row],[Year]],0,1-(1-Table1[[#This Row],[Sector commitment]])/(1-_xlfn.XLOOKUP(facilityBaseYear,Table1[Year],Table1[Sector commitment])))</f>
        <v>0</v>
      </c>
    </row>
    <row r="11" spans="1:3" x14ac:dyDescent="0.2">
      <c r="A11" s="221">
        <v>2024</v>
      </c>
      <c r="B11" s="222">
        <f>sectorTargetTP7*(Table1[[#This Row],[Year]]-2022)/4</f>
        <v>0</v>
      </c>
      <c r="C11" s="220">
        <f>IF(facilityBaseYear&gt;=Table1[[#This Row],[Year]],0,1-(1-Table1[[#This Row],[Sector commitment]])/(1-_xlfn.XLOOKUP(facilityBaseYear,Table1[Year],Table1[Sector commitment])))</f>
        <v>0</v>
      </c>
    </row>
    <row r="12" spans="1:3" ht="15.75" thickBot="1" x14ac:dyDescent="0.25">
      <c r="A12" s="221">
        <v>2025</v>
      </c>
      <c r="B12" s="222">
        <f>sectorTargetTP7*(Table1[[#This Row],[Year]]-2022)/4</f>
        <v>0</v>
      </c>
      <c r="C12" s="220">
        <f>IF(facilityBaseYear&gt;=Table1[[#This Row],[Year]],0,1-(1-Table1[[#This Row],[Sector commitment]])/(1-_xlfn.XLOOKUP(facilityBaseYear,Table1[Year],Table1[Sector commitment])))</f>
        <v>0</v>
      </c>
    </row>
    <row r="13" spans="1:3" ht="16.5" thickBot="1" x14ac:dyDescent="0.3">
      <c r="A13" s="224">
        <v>2026</v>
      </c>
      <c r="B13" s="225">
        <f>sectorTargetTP7</f>
        <v>0</v>
      </c>
      <c r="C13" s="226">
        <f>IF(facilityBaseYear&gt;=Table1[[#This Row],[Year]],0,1-(1-Table1[[#This Row],[Sector commitment]])/(1-_xlfn.XLOOKUP(facilityBaseYear,Table1[Year],Table1[Sector commitment])))</f>
        <v>0</v>
      </c>
    </row>
    <row r="14" spans="1:3" ht="15.75" thickBot="1" x14ac:dyDescent="0.25">
      <c r="A14" s="221">
        <v>2027</v>
      </c>
      <c r="B14" s="223">
        <f>sectorTargetTP7+(sectorTargetTP8-sectorTargetTP7)/2</f>
        <v>0</v>
      </c>
      <c r="C14" s="220">
        <f>IF(facilityBaseYear&gt;=Table1[[#This Row],[Year]],0,1-(1-Table1[[#This Row],[Sector commitment]])/(1-_xlfn.XLOOKUP(facilityBaseYear,Table1[Year],Table1[Sector commitment])))</f>
        <v>0</v>
      </c>
    </row>
    <row r="15" spans="1:3" ht="16.5" thickBot="1" x14ac:dyDescent="0.3">
      <c r="A15" s="224">
        <v>2028</v>
      </c>
      <c r="B15" s="225">
        <f>sectorTargetTP8</f>
        <v>0</v>
      </c>
      <c r="C15" s="226">
        <f>IF(facilityBaseYear&gt;=Table1[[#This Row],[Year]],0,1-(1-Table1[[#This Row],[Sector commitment]])/(1-_xlfn.XLOOKUP(facilityBaseYear,Table1[Year],Table1[Sector commitment])))</f>
        <v>0</v>
      </c>
    </row>
    <row r="16" spans="1:3" ht="15.75" thickBot="1" x14ac:dyDescent="0.25">
      <c r="A16" s="221">
        <v>2029</v>
      </c>
      <c r="B16" s="223">
        <f>sectorTargetTP8+(sectorTargetTP9-sectorTargetTP8)/2</f>
        <v>0</v>
      </c>
      <c r="C16" s="220">
        <f>IF(facilityBaseYear&gt;=Table1[[#This Row],[Year]],0,1-(1-Table1[[#This Row],[Sector commitment]])/(1-_xlfn.XLOOKUP(facilityBaseYear,Table1[Year],Table1[Sector commitment])))</f>
        <v>0</v>
      </c>
    </row>
    <row r="17" spans="1:3" ht="16.5" thickBot="1" x14ac:dyDescent="0.3">
      <c r="A17" s="224">
        <v>2030</v>
      </c>
      <c r="B17" s="225">
        <f>sectorTargetTP9</f>
        <v>0</v>
      </c>
      <c r="C17" s="226">
        <f>IF(facilityBaseYear&gt;=Table1[[#This Row],[Year]],0,1-(1-Table1[[#This Row],[Sector commitment]])/(1-_xlfn.XLOOKUP(facilityBaseYear,Table1[Year],Table1[Sector commitment])))</f>
        <v>0</v>
      </c>
    </row>
    <row r="19" spans="1:3" x14ac:dyDescent="0.2">
      <c r="A19" t="s">
        <v>56</v>
      </c>
      <c r="B19" s="231" t="str">
        <f>IF(facilityBYStartDate="","",IF(1-YEARFRAC(facilityBYStartDate,DATE(YEAR(facilityBYStartDate),12,31)+1,1)&lt;=0.5,YEAR(facilityBYStartDate),YEAR(facilityBYStartDate)+1))</f>
        <v/>
      </c>
    </row>
    <row r="20" spans="1:3" x14ac:dyDescent="0.2">
      <c r="A20" s="218"/>
    </row>
    <row r="26" spans="1:3" x14ac:dyDescent="0.2">
      <c r="C26" s="228"/>
    </row>
    <row r="27" spans="1:3" x14ac:dyDescent="0.2">
      <c r="C27" s="228"/>
    </row>
  </sheetData>
  <sheetProtection algorithmName="SHA-512" hashValue="G5FGXwHMNXhDYBCj20AfVQcF/Txyh7/r5jg4MaL5zlw1hb+2J8Pg73q3U4G6JPLjrEC/Q/dLjm8dsn+onxTRBQ==" saltValue="6rsBYgvTHHxqrWRL4spFjQ==" spinCount="100000" sheet="1" objects="1" scenarios="1"/>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E0B65-2EFC-4607-BCC5-BB6CF4F90BC5}">
  <sheetPr codeName="Sheet6"/>
  <dimension ref="A1:C143"/>
  <sheetViews>
    <sheetView workbookViewId="0">
      <pane xSplit="2" ySplit="1" topLeftCell="C2" activePane="bottomRight" state="frozen"/>
      <selection pane="topRight" activeCell="C1" sqref="C1"/>
      <selection pane="bottomLeft" activeCell="A2" sqref="A2"/>
      <selection pane="bottomRight" activeCell="I1" sqref="I1"/>
    </sheetView>
  </sheetViews>
  <sheetFormatPr defaultRowHeight="15" x14ac:dyDescent="0.2"/>
  <cols>
    <col min="1" max="1" width="16.6640625" bestFit="1" customWidth="1"/>
    <col min="2" max="2" width="42.77734375" bestFit="1" customWidth="1"/>
    <col min="3" max="3" width="29.21875" customWidth="1"/>
    <col min="4" max="4" width="9.88671875" bestFit="1" customWidth="1"/>
    <col min="5" max="5" width="9.88671875" customWidth="1"/>
    <col min="34" max="44" width="12.21875" bestFit="1" customWidth="1"/>
    <col min="45" max="45" width="10.6640625" bestFit="1" customWidth="1"/>
    <col min="46" max="46" width="12.33203125" bestFit="1" customWidth="1"/>
    <col min="47" max="47" width="10.88671875" bestFit="1" customWidth="1"/>
    <col min="48" max="50" width="10.6640625" bestFit="1" customWidth="1"/>
  </cols>
  <sheetData>
    <row r="1" spans="1:3" x14ac:dyDescent="0.2">
      <c r="A1" t="s">
        <v>57</v>
      </c>
      <c r="B1" t="s">
        <v>58</v>
      </c>
      <c r="C1" s="209" t="s">
        <v>59</v>
      </c>
    </row>
    <row r="2" spans="1:3" ht="15.75" x14ac:dyDescent="0.25">
      <c r="A2" t="s">
        <v>60</v>
      </c>
      <c r="B2" s="75" t="s">
        <v>1</v>
      </c>
      <c r="C2" s="238" t="str">
        <f>IF(facilityID="","",facilityID)</f>
        <v/>
      </c>
    </row>
    <row r="3" spans="1:3" ht="15.75" x14ac:dyDescent="0.25">
      <c r="A3" t="s">
        <v>60</v>
      </c>
      <c r="B3" s="75" t="s">
        <v>2</v>
      </c>
      <c r="C3" s="238" t="str">
        <f>IF(facilityName="","",facilityName)</f>
        <v/>
      </c>
    </row>
    <row r="4" spans="1:3" ht="15.75" x14ac:dyDescent="0.25">
      <c r="A4" t="s">
        <v>60</v>
      </c>
      <c r="B4" s="75" t="s">
        <v>61</v>
      </c>
      <c r="C4" s="238" t="str">
        <f>IF(facilityAddress="","",facilityAddress)</f>
        <v/>
      </c>
    </row>
    <row r="5" spans="1:3" ht="15.75" x14ac:dyDescent="0.25">
      <c r="A5" t="s">
        <v>60</v>
      </c>
      <c r="B5" s="75" t="s">
        <v>62</v>
      </c>
      <c r="C5" s="238" t="str">
        <f>IF(facilityInETS="","",facilityInETS)</f>
        <v/>
      </c>
    </row>
    <row r="6" spans="1:3" ht="15.75" x14ac:dyDescent="0.25">
      <c r="A6" t="s">
        <v>60</v>
      </c>
      <c r="B6" s="75" t="s">
        <v>63</v>
      </c>
      <c r="C6" s="237" t="str">
        <f>IF(facilityBYStartDate="","",facilityBYStartDate)</f>
        <v/>
      </c>
    </row>
    <row r="7" spans="1:3" ht="15.75" x14ac:dyDescent="0.25">
      <c r="A7" t="s">
        <v>60</v>
      </c>
      <c r="B7" s="75" t="s">
        <v>64</v>
      </c>
      <c r="C7" s="238" t="str">
        <f>IF(targetType="","",targetType)</f>
        <v/>
      </c>
    </row>
    <row r="8" spans="1:3" ht="15.75" x14ac:dyDescent="0.25">
      <c r="A8" t="s">
        <v>60</v>
      </c>
      <c r="B8" s="75" t="s">
        <v>65</v>
      </c>
      <c r="C8" s="238" t="str">
        <f>IF(reportingUnits="","",reportingUnits)</f>
        <v/>
      </c>
    </row>
    <row r="9" spans="1:3" ht="15.75" x14ac:dyDescent="0.25">
      <c r="A9" t="s">
        <v>66</v>
      </c>
      <c r="B9" s="75" t="s">
        <v>384</v>
      </c>
      <c r="C9" s="236">
        <f>primaryAmountAll</f>
        <v>0</v>
      </c>
    </row>
    <row r="10" spans="1:3" ht="15.75" x14ac:dyDescent="0.25">
      <c r="A10" t="s">
        <v>66</v>
      </c>
      <c r="B10" s="75" t="s">
        <v>114</v>
      </c>
      <c r="C10" s="236" t="str">
        <f>facilityBYWeightedCarbonFactor</f>
        <v/>
      </c>
    </row>
    <row r="11" spans="1:3" x14ac:dyDescent="0.2">
      <c r="A11" t="s">
        <v>66</v>
      </c>
      <c r="B11" t="s">
        <v>100</v>
      </c>
      <c r="C11" s="210">
        <f>primaryGridElec</f>
        <v>0</v>
      </c>
    </row>
    <row r="12" spans="1:3" x14ac:dyDescent="0.2">
      <c r="A12" t="s">
        <v>66</v>
      </c>
      <c r="B12" t="s">
        <v>101</v>
      </c>
      <c r="C12" s="210">
        <f>primaryNonGridElecRenewables</f>
        <v>0</v>
      </c>
    </row>
    <row r="13" spans="1:3" x14ac:dyDescent="0.2">
      <c r="A13" t="s">
        <v>66</v>
      </c>
      <c r="B13" t="s">
        <v>102</v>
      </c>
      <c r="C13" s="210">
        <f>primaryNaturalGas</f>
        <v>0</v>
      </c>
    </row>
    <row r="14" spans="1:3" x14ac:dyDescent="0.2">
      <c r="A14" t="s">
        <v>66</v>
      </c>
      <c r="B14" t="s">
        <v>103</v>
      </c>
      <c r="C14" s="210">
        <f>primaryFuelOil</f>
        <v>0</v>
      </c>
    </row>
    <row r="15" spans="1:3" x14ac:dyDescent="0.2">
      <c r="A15" t="s">
        <v>66</v>
      </c>
      <c r="B15" t="s">
        <v>104</v>
      </c>
      <c r="C15" s="210">
        <f>primaryCoal</f>
        <v>0</v>
      </c>
    </row>
    <row r="16" spans="1:3" x14ac:dyDescent="0.2">
      <c r="A16" t="s">
        <v>66</v>
      </c>
      <c r="B16" t="s">
        <v>105</v>
      </c>
      <c r="C16" s="210">
        <f>primaryCoke</f>
        <v>0</v>
      </c>
    </row>
    <row r="17" spans="1:3" x14ac:dyDescent="0.2">
      <c r="A17" t="s">
        <v>66</v>
      </c>
      <c r="B17" t="s">
        <v>106</v>
      </c>
      <c r="C17" s="210">
        <f>primaryLPG</f>
        <v>0</v>
      </c>
    </row>
    <row r="18" spans="1:3" x14ac:dyDescent="0.2">
      <c r="A18" t="s">
        <v>66</v>
      </c>
      <c r="B18" t="s">
        <v>107</v>
      </c>
      <c r="C18" s="210">
        <f>primaryEthane</f>
        <v>0</v>
      </c>
    </row>
    <row r="19" spans="1:3" x14ac:dyDescent="0.2">
      <c r="A19" t="s">
        <v>66</v>
      </c>
      <c r="B19" t="s">
        <v>108</v>
      </c>
      <c r="C19" s="210">
        <f>primaryKerosene</f>
        <v>0</v>
      </c>
    </row>
    <row r="20" spans="1:3" x14ac:dyDescent="0.2">
      <c r="A20" t="s">
        <v>66</v>
      </c>
      <c r="B20" t="s">
        <v>109</v>
      </c>
      <c r="C20" s="210">
        <f>primaryPetrol</f>
        <v>0</v>
      </c>
    </row>
    <row r="21" spans="1:3" x14ac:dyDescent="0.2">
      <c r="A21" t="s">
        <v>66</v>
      </c>
      <c r="B21" t="s">
        <v>110</v>
      </c>
      <c r="C21" s="210">
        <f>primaryGasOil</f>
        <v>0</v>
      </c>
    </row>
    <row r="22" spans="1:3" x14ac:dyDescent="0.2">
      <c r="A22" t="s">
        <v>66</v>
      </c>
      <c r="B22" t="s">
        <v>111</v>
      </c>
      <c r="C22" s="210">
        <f>primaryNaphtha</f>
        <v>0</v>
      </c>
    </row>
    <row r="23" spans="1:3" x14ac:dyDescent="0.2">
      <c r="A23" t="s">
        <v>66</v>
      </c>
      <c r="B23" t="s">
        <v>112</v>
      </c>
      <c r="C23" s="210">
        <f>primaryPetCoke</f>
        <v>0</v>
      </c>
    </row>
    <row r="24" spans="1:3" x14ac:dyDescent="0.2">
      <c r="A24" t="s">
        <v>66</v>
      </c>
      <c r="B24" t="s">
        <v>113</v>
      </c>
      <c r="C24" s="210">
        <f>primaryRefineryGas</f>
        <v>0</v>
      </c>
    </row>
    <row r="25" spans="1:3" x14ac:dyDescent="0.2">
      <c r="A25" t="s">
        <v>66</v>
      </c>
      <c r="B25" t="s">
        <v>67</v>
      </c>
      <c r="C25" s="209" t="str">
        <f>nameOtherFuel01</f>
        <v>Other Fuel 01</v>
      </c>
    </row>
    <row r="26" spans="1:3" x14ac:dyDescent="0.2">
      <c r="A26" t="s">
        <v>66</v>
      </c>
      <c r="B26" t="s">
        <v>68</v>
      </c>
      <c r="C26" s="209" t="str">
        <f>IF(carbonFactorOtherFuel01="","",carbonFactorOtherFuel01)</f>
        <v/>
      </c>
    </row>
    <row r="27" spans="1:3" x14ac:dyDescent="0.2">
      <c r="A27" t="s">
        <v>66</v>
      </c>
      <c r="B27" t="s">
        <v>69</v>
      </c>
      <c r="C27" s="210">
        <f>primaryOtherFuel01</f>
        <v>0</v>
      </c>
    </row>
    <row r="28" spans="1:3" x14ac:dyDescent="0.2">
      <c r="A28" t="s">
        <v>66</v>
      </c>
      <c r="B28" t="s">
        <v>70</v>
      </c>
      <c r="C28" s="209" t="str">
        <f>nameOtherFuel02</f>
        <v>Other Fuel 02</v>
      </c>
    </row>
    <row r="29" spans="1:3" x14ac:dyDescent="0.2">
      <c r="A29" t="s">
        <v>66</v>
      </c>
      <c r="B29" t="s">
        <v>71</v>
      </c>
      <c r="C29" s="209" t="str">
        <f>IF(carbonFactorOtherFuel02="","",carbonFactorOtherFuel02)</f>
        <v/>
      </c>
    </row>
    <row r="30" spans="1:3" x14ac:dyDescent="0.2">
      <c r="A30" t="s">
        <v>66</v>
      </c>
      <c r="B30" t="s">
        <v>72</v>
      </c>
      <c r="C30" s="210">
        <f>primaryOtherFuel02</f>
        <v>0</v>
      </c>
    </row>
    <row r="31" spans="1:3" x14ac:dyDescent="0.2">
      <c r="A31" t="s">
        <v>66</v>
      </c>
      <c r="B31" t="s">
        <v>73</v>
      </c>
      <c r="C31" s="209" t="str">
        <f>nameOtherFuel03</f>
        <v>Other Fuel 03</v>
      </c>
    </row>
    <row r="32" spans="1:3" x14ac:dyDescent="0.2">
      <c r="A32" t="s">
        <v>66</v>
      </c>
      <c r="B32" t="s">
        <v>74</v>
      </c>
      <c r="C32" s="209" t="str">
        <f>IF(carbonFactorOtherFuel03="","",carbonFactorOtherFuel03)</f>
        <v/>
      </c>
    </row>
    <row r="33" spans="1:3" x14ac:dyDescent="0.2">
      <c r="A33" t="s">
        <v>66</v>
      </c>
      <c r="B33" t="s">
        <v>75</v>
      </c>
      <c r="C33" s="210">
        <f>primaryOtherFuel03</f>
        <v>0</v>
      </c>
    </row>
    <row r="34" spans="1:3" x14ac:dyDescent="0.2">
      <c r="A34" t="s">
        <v>66</v>
      </c>
      <c r="B34" t="s">
        <v>76</v>
      </c>
      <c r="C34" s="209" t="str">
        <f>nameOtherFuel04</f>
        <v>Other Fuel 04</v>
      </c>
    </row>
    <row r="35" spans="1:3" x14ac:dyDescent="0.2">
      <c r="A35" t="s">
        <v>66</v>
      </c>
      <c r="B35" t="s">
        <v>77</v>
      </c>
      <c r="C35" s="209" t="str">
        <f>IF(carbonFactorOtherFuel04="","",carbonFactorOtherFuel04)</f>
        <v/>
      </c>
    </row>
    <row r="36" spans="1:3" x14ac:dyDescent="0.2">
      <c r="A36" t="s">
        <v>66</v>
      </c>
      <c r="B36" t="s">
        <v>78</v>
      </c>
      <c r="C36" s="210">
        <f>primaryOtherFuel04</f>
        <v>0</v>
      </c>
    </row>
    <row r="37" spans="1:3" x14ac:dyDescent="0.2">
      <c r="A37" t="s">
        <v>66</v>
      </c>
      <c r="B37" t="s">
        <v>79</v>
      </c>
      <c r="C37" s="209" t="str">
        <f>nameOtherFuel05</f>
        <v>Other Fuel 05</v>
      </c>
    </row>
    <row r="38" spans="1:3" x14ac:dyDescent="0.2">
      <c r="A38" t="s">
        <v>66</v>
      </c>
      <c r="B38" t="s">
        <v>80</v>
      </c>
      <c r="C38" s="209" t="str">
        <f>IF(carbonFactorOtherFuel05="","",carbonFactorOtherFuel05)</f>
        <v/>
      </c>
    </row>
    <row r="39" spans="1:3" x14ac:dyDescent="0.2">
      <c r="A39" t="s">
        <v>66</v>
      </c>
      <c r="B39" t="s">
        <v>81</v>
      </c>
      <c r="C39" s="210">
        <f>primaryOtherFuel05</f>
        <v>0</v>
      </c>
    </row>
    <row r="40" spans="1:3" x14ac:dyDescent="0.2">
      <c r="A40" t="s">
        <v>66</v>
      </c>
      <c r="B40" t="s">
        <v>82</v>
      </c>
      <c r="C40" s="209" t="str">
        <f>nameOtherFuel06</f>
        <v>Other Fuel 06</v>
      </c>
    </row>
    <row r="41" spans="1:3" x14ac:dyDescent="0.2">
      <c r="A41" t="s">
        <v>66</v>
      </c>
      <c r="B41" t="s">
        <v>83</v>
      </c>
      <c r="C41" s="209" t="str">
        <f>IF(carbonFactorOtherFuel06="","",carbonFactorOtherFuel06)</f>
        <v/>
      </c>
    </row>
    <row r="42" spans="1:3" x14ac:dyDescent="0.2">
      <c r="A42" t="s">
        <v>66</v>
      </c>
      <c r="B42" t="s">
        <v>84</v>
      </c>
      <c r="C42" s="210">
        <f>primaryOtherFuel06</f>
        <v>0</v>
      </c>
    </row>
    <row r="43" spans="1:3" x14ac:dyDescent="0.2">
      <c r="A43" t="s">
        <v>66</v>
      </c>
      <c r="B43" t="s">
        <v>85</v>
      </c>
      <c r="C43" s="209" t="str">
        <f>nameOtherFuel07</f>
        <v>Other Fuel 07</v>
      </c>
    </row>
    <row r="44" spans="1:3" x14ac:dyDescent="0.2">
      <c r="A44" t="s">
        <v>66</v>
      </c>
      <c r="B44" t="s">
        <v>86</v>
      </c>
      <c r="C44" s="209" t="str">
        <f>IF(carbonFactorOtherFuel07="","",carbonFactorOtherFuel07)</f>
        <v/>
      </c>
    </row>
    <row r="45" spans="1:3" x14ac:dyDescent="0.2">
      <c r="A45" t="s">
        <v>66</v>
      </c>
      <c r="B45" t="s">
        <v>87</v>
      </c>
      <c r="C45" s="210">
        <f>primaryOtherFuel07</f>
        <v>0</v>
      </c>
    </row>
    <row r="46" spans="1:3" x14ac:dyDescent="0.2">
      <c r="A46" t="s">
        <v>66</v>
      </c>
      <c r="B46" t="s">
        <v>88</v>
      </c>
      <c r="C46" s="209" t="str">
        <f>nameOtherFuel08</f>
        <v>Other Fuel 08</v>
      </c>
    </row>
    <row r="47" spans="1:3" x14ac:dyDescent="0.2">
      <c r="A47" t="s">
        <v>66</v>
      </c>
      <c r="B47" t="s">
        <v>89</v>
      </c>
      <c r="C47" s="209" t="str">
        <f>IF(carbonFactorOtherFuel08="","",carbonFactorOtherFuel08)</f>
        <v/>
      </c>
    </row>
    <row r="48" spans="1:3" x14ac:dyDescent="0.2">
      <c r="A48" t="s">
        <v>66</v>
      </c>
      <c r="B48" t="s">
        <v>90</v>
      </c>
      <c r="C48" s="210">
        <f>primaryOtherFuel08</f>
        <v>0</v>
      </c>
    </row>
    <row r="49" spans="1:3" x14ac:dyDescent="0.2">
      <c r="A49" t="s">
        <v>66</v>
      </c>
      <c r="B49" t="s">
        <v>91</v>
      </c>
      <c r="C49" s="209" t="str">
        <f>nameOtherFuel09</f>
        <v>Other Fuel 09</v>
      </c>
    </row>
    <row r="50" spans="1:3" x14ac:dyDescent="0.2">
      <c r="A50" t="s">
        <v>66</v>
      </c>
      <c r="B50" t="s">
        <v>92</v>
      </c>
      <c r="C50" s="209" t="str">
        <f>IF(carbonFactorOtherFuel09="","",carbonFactorOtherFuel09)</f>
        <v/>
      </c>
    </row>
    <row r="51" spans="1:3" x14ac:dyDescent="0.2">
      <c r="A51" t="s">
        <v>66</v>
      </c>
      <c r="B51" t="s">
        <v>93</v>
      </c>
      <c r="C51" s="210">
        <f>primaryOtherFuel09</f>
        <v>0</v>
      </c>
    </row>
    <row r="52" spans="1:3" x14ac:dyDescent="0.2">
      <c r="A52" t="s">
        <v>66</v>
      </c>
      <c r="B52" t="s">
        <v>94</v>
      </c>
      <c r="C52" s="209" t="str">
        <f>nameOtherFuel10</f>
        <v>Other Fuel 10</v>
      </c>
    </row>
    <row r="53" spans="1:3" x14ac:dyDescent="0.2">
      <c r="A53" t="s">
        <v>66</v>
      </c>
      <c r="B53" t="s">
        <v>95</v>
      </c>
      <c r="C53" s="209" t="str">
        <f>IF(carbonFactorOtherFuel10="","",carbonFactorOtherFuel10)</f>
        <v/>
      </c>
    </row>
    <row r="54" spans="1:3" x14ac:dyDescent="0.2">
      <c r="A54" t="s">
        <v>66</v>
      </c>
      <c r="B54" t="s">
        <v>96</v>
      </c>
      <c r="C54" s="210">
        <f>primaryOtherFuel10</f>
        <v>0</v>
      </c>
    </row>
    <row r="55" spans="1:3" x14ac:dyDescent="0.2">
      <c r="A55" t="s">
        <v>66</v>
      </c>
      <c r="B55" t="s">
        <v>97</v>
      </c>
      <c r="C55" s="209" t="str">
        <f>nameOtherFuel11</f>
        <v>Other Fuel 11</v>
      </c>
    </row>
    <row r="56" spans="1:3" x14ac:dyDescent="0.2">
      <c r="A56" t="s">
        <v>66</v>
      </c>
      <c r="B56" t="s">
        <v>98</v>
      </c>
      <c r="C56" s="209" t="str">
        <f>IF(carbonFactorOtherFuel11="","",carbonFactorOtherFuel11)</f>
        <v/>
      </c>
    </row>
    <row r="57" spans="1:3" x14ac:dyDescent="0.2">
      <c r="A57" t="s">
        <v>66</v>
      </c>
      <c r="B57" t="s">
        <v>99</v>
      </c>
      <c r="C57" s="210">
        <f>primaryOtherFuel11</f>
        <v>0</v>
      </c>
    </row>
    <row r="58" spans="1:3" ht="15.75" x14ac:dyDescent="0.25">
      <c r="A58" t="s">
        <v>115</v>
      </c>
      <c r="B58" s="75" t="s">
        <v>116</v>
      </c>
      <c r="C58" s="236" t="str">
        <f>IF(fixedThroughput="","",fixedThroughput)</f>
        <v/>
      </c>
    </row>
    <row r="59" spans="1:3" ht="15.75" x14ac:dyDescent="0.25">
      <c r="A59" t="s">
        <v>115</v>
      </c>
      <c r="B59" s="75" t="s">
        <v>117</v>
      </c>
      <c r="C59" s="236" t="str">
        <f>IF(fixedThroughputUnit="","",fixedThroughputUnit)</f>
        <v/>
      </c>
    </row>
    <row r="60" spans="1:3" ht="15.75" x14ac:dyDescent="0.25">
      <c r="A60" t="s">
        <v>115</v>
      </c>
      <c r="B60" s="75" t="s">
        <v>118</v>
      </c>
      <c r="C60" s="236" t="str">
        <f>IF(fixedPrimaryAmount="","",fixedPrimaryAmount)</f>
        <v/>
      </c>
    </row>
    <row r="61" spans="1:3" ht="15.75" x14ac:dyDescent="0.25">
      <c r="A61" t="s">
        <v>115</v>
      </c>
      <c r="B61" s="75" t="s">
        <v>119</v>
      </c>
      <c r="C61" s="236" t="str">
        <f>IF(variableTotalThroughput="","",variableTotalThroughput)</f>
        <v/>
      </c>
    </row>
    <row r="62" spans="1:3" ht="15.75" x14ac:dyDescent="0.25">
      <c r="A62" t="s">
        <v>115</v>
      </c>
      <c r="B62" s="75" t="s">
        <v>120</v>
      </c>
      <c r="C62" s="236" t="str">
        <f>IF(variableTotalThroughputUnit="","",variableTotalThroughputUnit)</f>
        <v/>
      </c>
    </row>
    <row r="63" spans="1:3" ht="15.75" x14ac:dyDescent="0.25">
      <c r="A63" t="s">
        <v>115</v>
      </c>
      <c r="B63" s="75" t="s">
        <v>121</v>
      </c>
      <c r="C63" s="236" t="str">
        <f>IF(variableTotalIntensity="","",variableTotalIntensity)</f>
        <v/>
      </c>
    </row>
    <row r="64" spans="1:3" ht="15.75" x14ac:dyDescent="0.25">
      <c r="A64" t="s">
        <v>115</v>
      </c>
      <c r="B64" s="75" t="s">
        <v>122</v>
      </c>
      <c r="C64" s="236">
        <f>IF(variableTotalPrimaryAmount="","",variableTotalPrimaryAmount)</f>
        <v>0</v>
      </c>
    </row>
    <row r="65" spans="1:3" ht="15.75" x14ac:dyDescent="0.25">
      <c r="A65" t="s">
        <v>115</v>
      </c>
      <c r="B65" s="75" t="s">
        <v>123</v>
      </c>
      <c r="C65" s="238" t="str">
        <f>IF(variableProductName01="","",variableProductName01)</f>
        <v/>
      </c>
    </row>
    <row r="66" spans="1:3" ht="15.75" x14ac:dyDescent="0.25">
      <c r="A66" t="s">
        <v>115</v>
      </c>
      <c r="B66" s="75" t="s">
        <v>124</v>
      </c>
      <c r="C66" s="236" t="str">
        <f>IF(variableThroughputProduct01="","",variableThroughputProduct01)</f>
        <v/>
      </c>
    </row>
    <row r="67" spans="1:3" ht="15.75" x14ac:dyDescent="0.25">
      <c r="A67" t="s">
        <v>115</v>
      </c>
      <c r="B67" s="75" t="s">
        <v>125</v>
      </c>
      <c r="C67" s="238" t="str">
        <f>IF(variableThroughputUnitProduct01="","",variableThroughputUnitProduct01)</f>
        <v/>
      </c>
    </row>
    <row r="68" spans="1:3" ht="15.75" x14ac:dyDescent="0.25">
      <c r="A68" t="s">
        <v>115</v>
      </c>
      <c r="B68" s="75" t="s">
        <v>126</v>
      </c>
      <c r="C68" s="236" t="str">
        <f>IF(variableIntensityProduct01="","",variableIntensityProduct01)</f>
        <v/>
      </c>
    </row>
    <row r="69" spans="1:3" ht="15.75" x14ac:dyDescent="0.25">
      <c r="A69" t="s">
        <v>115</v>
      </c>
      <c r="B69" s="75" t="s">
        <v>127</v>
      </c>
      <c r="C69" s="236">
        <f>variablePrimaryAmountProduct01</f>
        <v>0</v>
      </c>
    </row>
    <row r="70" spans="1:3" ht="15.75" x14ac:dyDescent="0.25">
      <c r="A70" t="s">
        <v>115</v>
      </c>
      <c r="B70" s="75" t="s">
        <v>128</v>
      </c>
      <c r="C70" s="238" t="str">
        <f>IF(variableProductName02="","",variableProductName02)</f>
        <v/>
      </c>
    </row>
    <row r="71" spans="1:3" ht="15.75" x14ac:dyDescent="0.25">
      <c r="A71" t="s">
        <v>115</v>
      </c>
      <c r="B71" s="75" t="s">
        <v>129</v>
      </c>
      <c r="C71" s="236" t="str">
        <f>IF(variableThroughputProduct02="","",variableThroughputProduct02)</f>
        <v/>
      </c>
    </row>
    <row r="72" spans="1:3" ht="15.75" x14ac:dyDescent="0.25">
      <c r="A72" t="s">
        <v>115</v>
      </c>
      <c r="B72" s="75" t="s">
        <v>130</v>
      </c>
      <c r="C72" s="238" t="str">
        <f>IF(variableThroughputUnitProduct02="","",variableThroughputUnitProduct02)</f>
        <v/>
      </c>
    </row>
    <row r="73" spans="1:3" ht="15.75" x14ac:dyDescent="0.25">
      <c r="A73" t="s">
        <v>115</v>
      </c>
      <c r="B73" s="75" t="s">
        <v>131</v>
      </c>
      <c r="C73" s="236" t="str">
        <f>IF(variableIntensityProduct02="","",variableIntensityProduct02)</f>
        <v/>
      </c>
    </row>
    <row r="74" spans="1:3" ht="15.75" x14ac:dyDescent="0.25">
      <c r="A74" t="s">
        <v>115</v>
      </c>
      <c r="B74" s="75" t="s">
        <v>132</v>
      </c>
      <c r="C74" s="236">
        <f>variablePrimaryAmountProduct02</f>
        <v>0</v>
      </c>
    </row>
    <row r="75" spans="1:3" ht="15.75" x14ac:dyDescent="0.25">
      <c r="A75" t="s">
        <v>115</v>
      </c>
      <c r="B75" s="75" t="s">
        <v>133</v>
      </c>
      <c r="C75" s="238" t="str">
        <f>IF(variableProductName03="","",variableProductName03)</f>
        <v/>
      </c>
    </row>
    <row r="76" spans="1:3" ht="15.75" x14ac:dyDescent="0.25">
      <c r="A76" t="s">
        <v>115</v>
      </c>
      <c r="B76" s="75" t="s">
        <v>134</v>
      </c>
      <c r="C76" s="238" t="str">
        <f>IF(variableThroughputUnitProduct03="","",variableThroughputUnitProduct03)</f>
        <v/>
      </c>
    </row>
    <row r="77" spans="1:3" ht="15.75" x14ac:dyDescent="0.25">
      <c r="A77" t="s">
        <v>115</v>
      </c>
      <c r="B77" s="75" t="s">
        <v>135</v>
      </c>
      <c r="C77" s="236" t="str">
        <f>IF(variableThroughputProduct03="","",variableThroughputProduct03)</f>
        <v/>
      </c>
    </row>
    <row r="78" spans="1:3" ht="15.75" x14ac:dyDescent="0.25">
      <c r="A78" t="s">
        <v>115</v>
      </c>
      <c r="B78" s="75" t="s">
        <v>136</v>
      </c>
      <c r="C78" s="236" t="str">
        <f>IF(variableIntensityProduct03="","",variableIntensityProduct03)</f>
        <v/>
      </c>
    </row>
    <row r="79" spans="1:3" ht="15.75" x14ac:dyDescent="0.25">
      <c r="A79" t="s">
        <v>115</v>
      </c>
      <c r="B79" s="75" t="s">
        <v>137</v>
      </c>
      <c r="C79" s="236">
        <f>variablePrimaryAmountProduct03</f>
        <v>0</v>
      </c>
    </row>
    <row r="80" spans="1:3" ht="15.75" x14ac:dyDescent="0.25">
      <c r="A80" t="s">
        <v>115</v>
      </c>
      <c r="B80" s="75" t="s">
        <v>138</v>
      </c>
      <c r="C80" s="238" t="str">
        <f>IF(variableProductName04="","",variableProductName04)</f>
        <v/>
      </c>
    </row>
    <row r="81" spans="1:3" ht="15.75" x14ac:dyDescent="0.25">
      <c r="A81" t="s">
        <v>115</v>
      </c>
      <c r="B81" s="75" t="s">
        <v>139</v>
      </c>
      <c r="C81" s="236" t="str">
        <f>IF(variableThroughputProduct04="","",variableThroughputProduct04)</f>
        <v/>
      </c>
    </row>
    <row r="82" spans="1:3" ht="15.75" x14ac:dyDescent="0.25">
      <c r="A82" t="s">
        <v>115</v>
      </c>
      <c r="B82" s="75" t="s">
        <v>140</v>
      </c>
      <c r="C82" s="238" t="str">
        <f>IF(variableThroughputUnitProduct04="","",variableThroughputUnitProduct04)</f>
        <v/>
      </c>
    </row>
    <row r="83" spans="1:3" ht="15.75" x14ac:dyDescent="0.25">
      <c r="A83" t="s">
        <v>115</v>
      </c>
      <c r="B83" s="75" t="s">
        <v>141</v>
      </c>
      <c r="C83" s="236" t="str">
        <f>IF(variableIntensityProduct04="","",variableIntensityProduct04)</f>
        <v/>
      </c>
    </row>
    <row r="84" spans="1:3" ht="15.75" x14ac:dyDescent="0.25">
      <c r="A84" t="s">
        <v>115</v>
      </c>
      <c r="B84" s="75" t="s">
        <v>142</v>
      </c>
      <c r="C84" s="236">
        <f>variablePrimaryAmountProduct04</f>
        <v>0</v>
      </c>
    </row>
    <row r="85" spans="1:3" ht="15.75" x14ac:dyDescent="0.25">
      <c r="A85" t="s">
        <v>115</v>
      </c>
      <c r="B85" s="75" t="s">
        <v>143</v>
      </c>
      <c r="C85" s="238" t="str">
        <f>IF(variableProductName05="","",variableProductName05)</f>
        <v/>
      </c>
    </row>
    <row r="86" spans="1:3" ht="15.75" x14ac:dyDescent="0.25">
      <c r="A86" t="s">
        <v>115</v>
      </c>
      <c r="B86" s="75" t="s">
        <v>144</v>
      </c>
      <c r="C86" s="236" t="str">
        <f>IF(variableThroughputProduct05="","",variableThroughputProduct05)</f>
        <v/>
      </c>
    </row>
    <row r="87" spans="1:3" ht="15.75" x14ac:dyDescent="0.25">
      <c r="A87" t="s">
        <v>115</v>
      </c>
      <c r="B87" s="75" t="s">
        <v>145</v>
      </c>
      <c r="C87" s="238" t="str">
        <f>IF(variableThroughputUnitProduct05="","",variableThroughputUnitProduct05)</f>
        <v/>
      </c>
    </row>
    <row r="88" spans="1:3" ht="15.75" x14ac:dyDescent="0.25">
      <c r="A88" t="s">
        <v>115</v>
      </c>
      <c r="B88" s="75" t="s">
        <v>146</v>
      </c>
      <c r="C88" s="236" t="str">
        <f>IF(variableIntensityProduct05="","",variableIntensityProduct05)</f>
        <v/>
      </c>
    </row>
    <row r="89" spans="1:3" ht="15.75" x14ac:dyDescent="0.25">
      <c r="A89" t="s">
        <v>115</v>
      </c>
      <c r="B89" s="75" t="s">
        <v>147</v>
      </c>
      <c r="C89" s="236">
        <f>variablePrimaryAmountProduct05</f>
        <v>0</v>
      </c>
    </row>
    <row r="90" spans="1:3" ht="15.75" x14ac:dyDescent="0.25">
      <c r="A90" t="s">
        <v>115</v>
      </c>
      <c r="B90" s="75" t="s">
        <v>148</v>
      </c>
      <c r="C90" s="238" t="str">
        <f>IF(variableProductName06="","",variableProductName06)</f>
        <v/>
      </c>
    </row>
    <row r="91" spans="1:3" ht="15.75" x14ac:dyDescent="0.25">
      <c r="A91" t="s">
        <v>115</v>
      </c>
      <c r="B91" s="75" t="s">
        <v>149</v>
      </c>
      <c r="C91" s="236" t="str">
        <f>IF(variableThroughputProduct06="","",variableThroughputProduct06)</f>
        <v/>
      </c>
    </row>
    <row r="92" spans="1:3" ht="15.75" x14ac:dyDescent="0.25">
      <c r="A92" t="s">
        <v>115</v>
      </c>
      <c r="B92" s="75" t="s">
        <v>150</v>
      </c>
      <c r="C92" s="238" t="str">
        <f>IF(variableThroughputUnitProduct06="","",variableThroughputUnitProduct06)</f>
        <v/>
      </c>
    </row>
    <row r="93" spans="1:3" ht="15.75" x14ac:dyDescent="0.25">
      <c r="A93" t="s">
        <v>115</v>
      </c>
      <c r="B93" s="75" t="s">
        <v>151</v>
      </c>
      <c r="C93" s="236" t="str">
        <f>IF(variableIntensityProduct06="","",variableIntensityProduct06)</f>
        <v/>
      </c>
    </row>
    <row r="94" spans="1:3" ht="15.75" x14ac:dyDescent="0.25">
      <c r="A94" t="s">
        <v>115</v>
      </c>
      <c r="B94" s="75" t="s">
        <v>152</v>
      </c>
      <c r="C94" s="236">
        <f>variablePrimaryAmountProduct06</f>
        <v>0</v>
      </c>
    </row>
    <row r="95" spans="1:3" ht="15.75" x14ac:dyDescent="0.25">
      <c r="A95" t="s">
        <v>115</v>
      </c>
      <c r="B95" s="75" t="s">
        <v>153</v>
      </c>
      <c r="C95" s="238" t="str">
        <f>IF(variableProductName07="","",variableProductName07)</f>
        <v/>
      </c>
    </row>
    <row r="96" spans="1:3" ht="15.75" x14ac:dyDescent="0.25">
      <c r="A96" t="s">
        <v>115</v>
      </c>
      <c r="B96" s="75" t="s">
        <v>154</v>
      </c>
      <c r="C96" s="236" t="str">
        <f>IF(variableThroughputProduct07="","",variableThroughputProduct07)</f>
        <v/>
      </c>
    </row>
    <row r="97" spans="1:3" ht="15.75" x14ac:dyDescent="0.25">
      <c r="A97" t="s">
        <v>115</v>
      </c>
      <c r="B97" s="75" t="s">
        <v>155</v>
      </c>
      <c r="C97" s="238" t="str">
        <f>IF(variableThroughputUnitProduct07="","",variableThroughputUnitProduct07)</f>
        <v/>
      </c>
    </row>
    <row r="98" spans="1:3" ht="15.75" x14ac:dyDescent="0.25">
      <c r="A98" t="s">
        <v>115</v>
      </c>
      <c r="B98" s="75" t="s">
        <v>156</v>
      </c>
      <c r="C98" s="236" t="str">
        <f>IF(variableIntensityProduct07="","",variableIntensityProduct07)</f>
        <v/>
      </c>
    </row>
    <row r="99" spans="1:3" ht="15.75" x14ac:dyDescent="0.25">
      <c r="A99" t="s">
        <v>115</v>
      </c>
      <c r="B99" s="75" t="s">
        <v>157</v>
      </c>
      <c r="C99" s="236">
        <f>variablePrimaryAmountProduct07</f>
        <v>0</v>
      </c>
    </row>
    <row r="100" spans="1:3" ht="15.75" x14ac:dyDescent="0.25">
      <c r="A100" t="s">
        <v>115</v>
      </c>
      <c r="B100" s="75" t="s">
        <v>158</v>
      </c>
      <c r="C100" s="238" t="str">
        <f>IF(variableProductName08="","",variableProductName08)</f>
        <v/>
      </c>
    </row>
    <row r="101" spans="1:3" ht="15.75" x14ac:dyDescent="0.25">
      <c r="A101" t="s">
        <v>115</v>
      </c>
      <c r="B101" s="75" t="s">
        <v>159</v>
      </c>
      <c r="C101" s="236" t="str">
        <f>IF(variableThroughputProduct08="","",variableThroughputProduct08)</f>
        <v/>
      </c>
    </row>
    <row r="102" spans="1:3" ht="15.75" x14ac:dyDescent="0.25">
      <c r="A102" t="s">
        <v>115</v>
      </c>
      <c r="B102" s="75" t="s">
        <v>160</v>
      </c>
      <c r="C102" s="238" t="str">
        <f>IF(variableThroughputUnitProduct08="","",variableThroughputUnitProduct08)</f>
        <v/>
      </c>
    </row>
    <row r="103" spans="1:3" ht="15.75" x14ac:dyDescent="0.25">
      <c r="A103" t="s">
        <v>115</v>
      </c>
      <c r="B103" s="75" t="s">
        <v>161</v>
      </c>
      <c r="C103" s="236" t="str">
        <f>IF(variableIntensityProduct08="","",variableIntensityProduct08)</f>
        <v/>
      </c>
    </row>
    <row r="104" spans="1:3" ht="15.75" x14ac:dyDescent="0.25">
      <c r="A104" t="s">
        <v>115</v>
      </c>
      <c r="B104" s="75" t="s">
        <v>162</v>
      </c>
      <c r="C104" s="236">
        <f>variablePrimaryAmountProduct08</f>
        <v>0</v>
      </c>
    </row>
    <row r="105" spans="1:3" ht="15.75" x14ac:dyDescent="0.25">
      <c r="A105" t="s">
        <v>115</v>
      </c>
      <c r="B105" s="75" t="s">
        <v>163</v>
      </c>
      <c r="C105" s="238" t="str">
        <f>IF(variableProductName09="","",variableProductName09)</f>
        <v/>
      </c>
    </row>
    <row r="106" spans="1:3" ht="15.75" x14ac:dyDescent="0.25">
      <c r="A106" t="s">
        <v>115</v>
      </c>
      <c r="B106" s="75" t="s">
        <v>164</v>
      </c>
      <c r="C106" s="236" t="str">
        <f>IF(variableThroughputProduct09="","",variableThroughputProduct09)</f>
        <v/>
      </c>
    </row>
    <row r="107" spans="1:3" ht="15.75" x14ac:dyDescent="0.25">
      <c r="A107" t="s">
        <v>115</v>
      </c>
      <c r="B107" s="75" t="s">
        <v>165</v>
      </c>
      <c r="C107" s="238" t="str">
        <f>IF(variableThroughputUnitProduct09="","",variableThroughputUnitProduct09)</f>
        <v/>
      </c>
    </row>
    <row r="108" spans="1:3" ht="15.75" x14ac:dyDescent="0.25">
      <c r="A108" t="s">
        <v>115</v>
      </c>
      <c r="B108" s="75" t="s">
        <v>166</v>
      </c>
      <c r="C108" s="236" t="str">
        <f>IF(variableIntensityProduct09="","",variableIntensityProduct09)</f>
        <v/>
      </c>
    </row>
    <row r="109" spans="1:3" ht="15.75" x14ac:dyDescent="0.25">
      <c r="A109" t="s">
        <v>115</v>
      </c>
      <c r="B109" s="75" t="s">
        <v>167</v>
      </c>
      <c r="C109" s="236">
        <f>variablePrimaryAmountProduct09</f>
        <v>0</v>
      </c>
    </row>
    <row r="110" spans="1:3" ht="15.75" x14ac:dyDescent="0.25">
      <c r="A110" t="s">
        <v>115</v>
      </c>
      <c r="B110" s="75" t="s">
        <v>168</v>
      </c>
      <c r="C110" s="238" t="str">
        <f>IF(variableProductName10="","",variableProductName10)</f>
        <v/>
      </c>
    </row>
    <row r="111" spans="1:3" ht="15.75" x14ac:dyDescent="0.25">
      <c r="A111" t="s">
        <v>115</v>
      </c>
      <c r="B111" s="75" t="s">
        <v>169</v>
      </c>
      <c r="C111" s="236" t="str">
        <f>IF(variableThroughputProduct10="","",variableThroughputProduct10)</f>
        <v/>
      </c>
    </row>
    <row r="112" spans="1:3" ht="15.75" x14ac:dyDescent="0.25">
      <c r="A112" t="s">
        <v>115</v>
      </c>
      <c r="B112" s="75" t="s">
        <v>170</v>
      </c>
      <c r="C112" s="238" t="str">
        <f>IF(variableThroughputUnitProduct10="","",variableThroughputUnitProduct10)</f>
        <v/>
      </c>
    </row>
    <row r="113" spans="1:3" ht="15.75" x14ac:dyDescent="0.25">
      <c r="A113" t="s">
        <v>115</v>
      </c>
      <c r="B113" s="75" t="s">
        <v>171</v>
      </c>
      <c r="C113" s="236" t="str">
        <f>IF(variableIntensityProduct10="","",variableIntensityProduct10)</f>
        <v/>
      </c>
    </row>
    <row r="114" spans="1:3" ht="15.75" x14ac:dyDescent="0.25">
      <c r="A114" t="s">
        <v>115</v>
      </c>
      <c r="B114" s="75" t="s">
        <v>172</v>
      </c>
      <c r="C114" s="236">
        <f>variablePrimaryAmountProduct10</f>
        <v>0</v>
      </c>
    </row>
    <row r="115" spans="1:3" ht="15.75" x14ac:dyDescent="0.25">
      <c r="A115" t="s">
        <v>115</v>
      </c>
      <c r="B115" s="75" t="s">
        <v>173</v>
      </c>
      <c r="C115" s="238" t="str">
        <f>IF(variableProductName11="","",variableProductName11)</f>
        <v/>
      </c>
    </row>
    <row r="116" spans="1:3" ht="15.75" x14ac:dyDescent="0.25">
      <c r="A116" t="s">
        <v>115</v>
      </c>
      <c r="B116" s="75" t="s">
        <v>174</v>
      </c>
      <c r="C116" s="236" t="str">
        <f>IF(variableThroughputProduct11="","",variableThroughputProduct11)</f>
        <v/>
      </c>
    </row>
    <row r="117" spans="1:3" ht="15.75" x14ac:dyDescent="0.25">
      <c r="A117" t="s">
        <v>115</v>
      </c>
      <c r="B117" s="75" t="s">
        <v>175</v>
      </c>
      <c r="C117" s="238" t="str">
        <f>IF(variableThroughputUnitProduct11="","",variableThroughputUnitProduct11)</f>
        <v/>
      </c>
    </row>
    <row r="118" spans="1:3" ht="15.75" x14ac:dyDescent="0.25">
      <c r="A118" t="s">
        <v>115</v>
      </c>
      <c r="B118" s="75" t="s">
        <v>176</v>
      </c>
      <c r="C118" s="236" t="str">
        <f>IF(variableIntensityProduct11="","",variableIntensityProduct11)</f>
        <v/>
      </c>
    </row>
    <row r="119" spans="1:3" ht="15.75" x14ac:dyDescent="0.25">
      <c r="A119" t="s">
        <v>115</v>
      </c>
      <c r="B119" s="75" t="s">
        <v>177</v>
      </c>
      <c r="C119" s="236">
        <f>variablePrimaryAmountProduct11</f>
        <v>0</v>
      </c>
    </row>
    <row r="120" spans="1:3" ht="15.75" x14ac:dyDescent="0.25">
      <c r="A120" t="s">
        <v>115</v>
      </c>
      <c r="B120" s="75" t="s">
        <v>178</v>
      </c>
      <c r="C120" s="238" t="str">
        <f>IF(variableProductName12="","",variableProductName12)</f>
        <v/>
      </c>
    </row>
    <row r="121" spans="1:3" ht="15.75" x14ac:dyDescent="0.25">
      <c r="A121" t="s">
        <v>115</v>
      </c>
      <c r="B121" s="75" t="s">
        <v>179</v>
      </c>
      <c r="C121" s="236" t="str">
        <f>IF(variableThroughputProduct12="","",variableThroughputProduct12)</f>
        <v/>
      </c>
    </row>
    <row r="122" spans="1:3" ht="15.75" x14ac:dyDescent="0.25">
      <c r="A122" t="s">
        <v>115</v>
      </c>
      <c r="B122" s="75" t="s">
        <v>180</v>
      </c>
      <c r="C122" s="238" t="str">
        <f>IF(variableThroughputUnitProduct12="","",variableThroughputUnitProduct12)</f>
        <v/>
      </c>
    </row>
    <row r="123" spans="1:3" ht="15.75" x14ac:dyDescent="0.25">
      <c r="A123" t="s">
        <v>115</v>
      </c>
      <c r="B123" s="75" t="s">
        <v>181</v>
      </c>
      <c r="C123" s="236" t="str">
        <f>IF(variableIntensityProduct12="","",variableIntensityProduct12)</f>
        <v/>
      </c>
    </row>
    <row r="124" spans="1:3" ht="15.75" x14ac:dyDescent="0.25">
      <c r="A124" t="s">
        <v>115</v>
      </c>
      <c r="B124" s="75" t="s">
        <v>182</v>
      </c>
      <c r="C124" s="236">
        <f>variablePrimaryAmountProduct12</f>
        <v>0</v>
      </c>
    </row>
    <row r="125" spans="1:3" ht="15.75" x14ac:dyDescent="0.25">
      <c r="A125" t="s">
        <v>115</v>
      </c>
      <c r="B125" s="75" t="s">
        <v>183</v>
      </c>
      <c r="C125" s="238" t="str">
        <f>IF(variableProductName13="","",variableProductName13)</f>
        <v/>
      </c>
    </row>
    <row r="126" spans="1:3" ht="15.75" x14ac:dyDescent="0.25">
      <c r="A126" t="s">
        <v>115</v>
      </c>
      <c r="B126" s="75" t="s">
        <v>184</v>
      </c>
      <c r="C126" s="236" t="str">
        <f>IF(variableThroughputProduct13="","",variableThroughputProduct13)</f>
        <v/>
      </c>
    </row>
    <row r="127" spans="1:3" ht="15.75" x14ac:dyDescent="0.25">
      <c r="A127" t="s">
        <v>115</v>
      </c>
      <c r="B127" s="75" t="s">
        <v>185</v>
      </c>
      <c r="C127" s="238" t="str">
        <f>IF(variableThroughputUnitProduct13="","",variableThroughputUnitProduct13)</f>
        <v/>
      </c>
    </row>
    <row r="128" spans="1:3" ht="15.75" x14ac:dyDescent="0.25">
      <c r="A128" t="s">
        <v>115</v>
      </c>
      <c r="B128" s="75" t="s">
        <v>186</v>
      </c>
      <c r="C128" s="236" t="str">
        <f>IF(variableIntensityProduct13="","",variableIntensityProduct13)</f>
        <v/>
      </c>
    </row>
    <row r="129" spans="1:3" ht="15.75" x14ac:dyDescent="0.25">
      <c r="A129" t="s">
        <v>115</v>
      </c>
      <c r="B129" s="75" t="s">
        <v>187</v>
      </c>
      <c r="C129" s="236">
        <f>variablePrimaryAmountProduct13</f>
        <v>0</v>
      </c>
    </row>
    <row r="130" spans="1:3" ht="15.75" x14ac:dyDescent="0.25">
      <c r="A130" t="s">
        <v>115</v>
      </c>
      <c r="B130" s="75" t="s">
        <v>188</v>
      </c>
      <c r="C130" s="238" t="str">
        <f>IF(variableProductName14="","",variableProductName14)</f>
        <v/>
      </c>
    </row>
    <row r="131" spans="1:3" ht="15.75" x14ac:dyDescent="0.25">
      <c r="A131" t="s">
        <v>115</v>
      </c>
      <c r="B131" s="75" t="s">
        <v>189</v>
      </c>
      <c r="C131" s="236" t="str">
        <f>IF(variableThroughputProduct14="","",variableThroughputProduct14)</f>
        <v/>
      </c>
    </row>
    <row r="132" spans="1:3" ht="15.75" x14ac:dyDescent="0.25">
      <c r="A132" t="s">
        <v>115</v>
      </c>
      <c r="B132" s="75" t="s">
        <v>190</v>
      </c>
      <c r="C132" s="238" t="str">
        <f>IF(variableThroughputUnitProduct14="","",variableThroughputUnitProduct14)</f>
        <v/>
      </c>
    </row>
    <row r="133" spans="1:3" ht="15.75" x14ac:dyDescent="0.25">
      <c r="A133" t="s">
        <v>115</v>
      </c>
      <c r="B133" s="75" t="s">
        <v>191</v>
      </c>
      <c r="C133" s="236" t="str">
        <f>IF(variableIntensityProduct14="","",variableIntensityProduct14)</f>
        <v/>
      </c>
    </row>
    <row r="134" spans="1:3" ht="15.75" x14ac:dyDescent="0.25">
      <c r="A134" t="s">
        <v>115</v>
      </c>
      <c r="B134" s="75" t="s">
        <v>192</v>
      </c>
      <c r="C134" s="236">
        <f>variablePrimaryAmountProduct14</f>
        <v>0</v>
      </c>
    </row>
    <row r="135" spans="1:3" ht="15.75" x14ac:dyDescent="0.25">
      <c r="A135" t="s">
        <v>115</v>
      </c>
      <c r="B135" s="75" t="s">
        <v>193</v>
      </c>
      <c r="C135" s="238" t="str">
        <f>IF(variableProductName15="","",variableProductName15)</f>
        <v/>
      </c>
    </row>
    <row r="136" spans="1:3" ht="15.75" x14ac:dyDescent="0.25">
      <c r="A136" t="s">
        <v>115</v>
      </c>
      <c r="B136" s="75" t="s">
        <v>194</v>
      </c>
      <c r="C136" s="236" t="str">
        <f>IF(variableThroughputProduct15="","",variableThroughputProduct15)</f>
        <v/>
      </c>
    </row>
    <row r="137" spans="1:3" ht="15.75" x14ac:dyDescent="0.25">
      <c r="A137" t="s">
        <v>115</v>
      </c>
      <c r="B137" s="75" t="s">
        <v>195</v>
      </c>
      <c r="C137" s="238" t="str">
        <f>IF(variableThroughputUnitProduct15="","",variableThroughputUnitProduct15)</f>
        <v/>
      </c>
    </row>
    <row r="138" spans="1:3" ht="15.75" x14ac:dyDescent="0.25">
      <c r="A138" t="s">
        <v>115</v>
      </c>
      <c r="B138" s="75" t="s">
        <v>196</v>
      </c>
      <c r="C138" s="236" t="str">
        <f>IF(variableIntensityProduct15="","",variableIntensityProduct15)</f>
        <v/>
      </c>
    </row>
    <row r="139" spans="1:3" ht="15.75" x14ac:dyDescent="0.25">
      <c r="A139" t="s">
        <v>115</v>
      </c>
      <c r="B139" s="75" t="s">
        <v>197</v>
      </c>
      <c r="C139" s="236">
        <f>variablePrimaryAmountProduct15</f>
        <v>0</v>
      </c>
    </row>
    <row r="140" spans="1:3" ht="15.75" x14ac:dyDescent="0.25">
      <c r="A140" t="s">
        <v>198</v>
      </c>
      <c r="B140" s="75" t="s">
        <v>199</v>
      </c>
      <c r="C140" s="236">
        <f>facilityTargetTP7*100</f>
        <v>0</v>
      </c>
    </row>
    <row r="141" spans="1:3" ht="15.75" x14ac:dyDescent="0.25">
      <c r="A141" t="s">
        <v>198</v>
      </c>
      <c r="B141" s="75" t="s">
        <v>200</v>
      </c>
      <c r="C141" s="236">
        <f>facilityTargetTP8*100</f>
        <v>0</v>
      </c>
    </row>
    <row r="142" spans="1:3" ht="15.75" x14ac:dyDescent="0.25">
      <c r="A142" t="s">
        <v>198</v>
      </c>
      <c r="B142" s="75" t="s">
        <v>201</v>
      </c>
      <c r="C142" s="236">
        <f>facilityTargetTP9*100</f>
        <v>0</v>
      </c>
    </row>
    <row r="143" spans="1:3" x14ac:dyDescent="0.2">
      <c r="A143" t="s">
        <v>198</v>
      </c>
      <c r="B143" t="s">
        <v>202</v>
      </c>
      <c r="C143" s="227" t="str">
        <f>facilityBaseYear</f>
        <v/>
      </c>
    </row>
  </sheetData>
  <phoneticPr fontId="46"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AA5A8-97F2-45C8-A8D2-5B7189A8EE4B}">
  <sheetPr codeName="Sheet7">
    <tabColor theme="4" tint="0.79998168889431442"/>
  </sheetPr>
  <dimension ref="A1:I32"/>
  <sheetViews>
    <sheetView workbookViewId="0"/>
  </sheetViews>
  <sheetFormatPr defaultRowHeight="15" x14ac:dyDescent="0.2"/>
  <cols>
    <col min="1" max="1" width="9.88671875" bestFit="1" customWidth="1"/>
    <col min="2" max="2" width="12.109375" customWidth="1"/>
    <col min="3" max="3" width="14.44140625" customWidth="1"/>
    <col min="4" max="4" width="18.44140625" customWidth="1"/>
    <col min="5" max="5" width="9.88671875" bestFit="1" customWidth="1"/>
    <col min="6" max="6" width="9.88671875" customWidth="1"/>
    <col min="7" max="7" width="29.77734375" customWidth="1"/>
    <col min="8" max="8" width="13.5546875" bestFit="1" customWidth="1"/>
    <col min="9" max="9" width="17" bestFit="1" customWidth="1"/>
  </cols>
  <sheetData>
    <row r="1" spans="1:9" ht="15.75" x14ac:dyDescent="0.25">
      <c r="A1" s="75" t="str">
        <f>"Complete the table with monthly "&amp;targetType&amp;" and throughput data for a single product made during the base year period to estimate the FIXED and VARIABLE components"</f>
        <v>Complete the table with monthly  and throughput data for a single product made during the base year period to estimate the FIXED and VARIABLE components</v>
      </c>
    </row>
    <row r="2" spans="1:9" ht="3" customHeight="1" x14ac:dyDescent="0.25">
      <c r="A2" s="75"/>
    </row>
    <row r="3" spans="1:9" ht="33.75" customHeight="1" thickBot="1" x14ac:dyDescent="0.25">
      <c r="A3" s="158" t="s">
        <v>203</v>
      </c>
      <c r="B3" s="159" t="s">
        <v>204</v>
      </c>
      <c r="C3" s="159" t="str">
        <f>"Actual "&amp;targetType&amp;" "&amp;reportingUnits&amp;" / month"</f>
        <v>Actual   / month</v>
      </c>
      <c r="D3" s="160" t="str">
        <f>"Calculated "&amp;targetType&amp;" "&amp;reportingUnits&amp;" / month"</f>
        <v>Calculated   / month</v>
      </c>
      <c r="E3" s="160" t="s">
        <v>205</v>
      </c>
    </row>
    <row r="4" spans="1:9" ht="15.75" thickBot="1" x14ac:dyDescent="0.25">
      <c r="A4" s="201" t="str">
        <f t="shared" ref="A4:A15" si="0">IF(facilityBYStartDate="","",EDATE(facilityBYStartDate,ROW(A4)-4))</f>
        <v/>
      </c>
      <c r="B4" s="187"/>
      <c r="C4" s="187"/>
      <c r="D4" s="203" t="str">
        <f t="shared" ref="D4:D15" si="1">IFERROR($H$4/$H$7+$H$5*B4,"")</f>
        <v/>
      </c>
      <c r="E4" s="204" t="str">
        <f>IFERROR(D4-C4,"")</f>
        <v/>
      </c>
      <c r="F4" s="151"/>
      <c r="G4" t="str">
        <f>"Fixed "&amp;targetType</f>
        <v xml:space="preserve">Fixed </v>
      </c>
      <c r="H4" s="83" t="str">
        <f>IF($H$7&lt;12,"Enter more data",INTERCEPT('Monthly BY data (optional)'!$C$4:$C$15,'Monthly BY data (optional)'!$B$4:$B$15)*H7)</f>
        <v>Enter more data</v>
      </c>
      <c r="I4" t="str">
        <f>reportingUnits&amp;" / year"</f>
        <v xml:space="preserve"> / year</v>
      </c>
    </row>
    <row r="5" spans="1:9" ht="15.75" thickBot="1" x14ac:dyDescent="0.25">
      <c r="A5" s="201" t="str">
        <f t="shared" si="0"/>
        <v/>
      </c>
      <c r="B5" s="187"/>
      <c r="C5" s="187"/>
      <c r="D5" s="203" t="str">
        <f t="shared" si="1"/>
        <v/>
      </c>
      <c r="E5" s="204" t="str">
        <f t="shared" ref="E5:E15" si="2">IFERROR(D5-C5,"")</f>
        <v/>
      </c>
      <c r="F5" s="151"/>
      <c r="G5" t="str">
        <f>targetType&amp;" intensity"</f>
        <v xml:space="preserve"> intensity</v>
      </c>
      <c r="H5" s="84" t="str">
        <f>IF($H$7&lt;12,"Enter more data",SLOPE('Monthly BY data (optional)'!$C$4:$C$15,'Monthly BY data (optional)'!$B$4:$B$15))</f>
        <v>Enter more data</v>
      </c>
      <c r="I5" t="str">
        <f>reportingUnits&amp;" / throughput unit"</f>
        <v xml:space="preserve"> / throughput unit</v>
      </c>
    </row>
    <row r="6" spans="1:9" x14ac:dyDescent="0.2">
      <c r="A6" s="201" t="str">
        <f t="shared" si="0"/>
        <v/>
      </c>
      <c r="B6" s="187"/>
      <c r="C6" s="187"/>
      <c r="D6" s="203" t="str">
        <f t="shared" si="1"/>
        <v/>
      </c>
      <c r="E6" s="204" t="str">
        <f t="shared" si="2"/>
        <v/>
      </c>
      <c r="F6" s="151"/>
      <c r="G6" t="s">
        <v>206</v>
      </c>
      <c r="H6" s="152" t="str">
        <f>IF($H$7&lt;12,"Enter more data",RSQ('Monthly BY data (optional)'!$C$4:$C$15,'Monthly BY data (optional)'!$B$4:$B$15))</f>
        <v>Enter more data</v>
      </c>
    </row>
    <row r="7" spans="1:9" x14ac:dyDescent="0.2">
      <c r="A7" s="201" t="str">
        <f t="shared" si="0"/>
        <v/>
      </c>
      <c r="B7" s="187"/>
      <c r="C7" s="187"/>
      <c r="D7" s="203" t="str">
        <f t="shared" si="1"/>
        <v/>
      </c>
      <c r="E7" s="204" t="str">
        <f t="shared" si="2"/>
        <v/>
      </c>
      <c r="F7" s="151"/>
      <c r="G7" t="s">
        <v>207</v>
      </c>
      <c r="H7">
        <f>COUNTA('Monthly BY data (optional)'!$B$4:$C$15)/2</f>
        <v>0</v>
      </c>
    </row>
    <row r="8" spans="1:9" x14ac:dyDescent="0.2">
      <c r="A8" s="201" t="str">
        <f t="shared" si="0"/>
        <v/>
      </c>
      <c r="B8" s="187"/>
      <c r="C8" s="187"/>
      <c r="D8" s="203" t="str">
        <f t="shared" si="1"/>
        <v/>
      </c>
      <c r="E8" s="204" t="str">
        <f t="shared" si="2"/>
        <v/>
      </c>
      <c r="F8" s="151"/>
    </row>
    <row r="9" spans="1:9" x14ac:dyDescent="0.2">
      <c r="A9" s="201" t="str">
        <f t="shared" si="0"/>
        <v/>
      </c>
      <c r="B9" s="187"/>
      <c r="C9" s="187"/>
      <c r="D9" s="203" t="str">
        <f t="shared" si="1"/>
        <v/>
      </c>
      <c r="E9" s="204" t="str">
        <f t="shared" si="2"/>
        <v/>
      </c>
      <c r="F9" s="151"/>
    </row>
    <row r="10" spans="1:9" x14ac:dyDescent="0.2">
      <c r="A10" s="201" t="str">
        <f t="shared" si="0"/>
        <v/>
      </c>
      <c r="B10" s="187"/>
      <c r="C10" s="187"/>
      <c r="D10" s="203" t="str">
        <f t="shared" si="1"/>
        <v/>
      </c>
      <c r="E10" s="204" t="str">
        <f t="shared" si="2"/>
        <v/>
      </c>
      <c r="F10" s="151"/>
    </row>
    <row r="11" spans="1:9" x14ac:dyDescent="0.2">
      <c r="A11" s="201" t="str">
        <f t="shared" si="0"/>
        <v/>
      </c>
      <c r="B11" s="187"/>
      <c r="C11" s="187"/>
      <c r="D11" s="203" t="str">
        <f t="shared" si="1"/>
        <v/>
      </c>
      <c r="E11" s="204" t="str">
        <f t="shared" si="2"/>
        <v/>
      </c>
      <c r="F11" s="151"/>
    </row>
    <row r="12" spans="1:9" x14ac:dyDescent="0.2">
      <c r="A12" s="201" t="str">
        <f t="shared" si="0"/>
        <v/>
      </c>
      <c r="B12" s="187"/>
      <c r="C12" s="187"/>
      <c r="D12" s="203" t="str">
        <f t="shared" si="1"/>
        <v/>
      </c>
      <c r="E12" s="204" t="str">
        <f t="shared" si="2"/>
        <v/>
      </c>
      <c r="F12" s="151"/>
    </row>
    <row r="13" spans="1:9" x14ac:dyDescent="0.2">
      <c r="A13" s="201" t="str">
        <f t="shared" si="0"/>
        <v/>
      </c>
      <c r="B13" s="187"/>
      <c r="C13" s="187"/>
      <c r="D13" s="203" t="str">
        <f t="shared" si="1"/>
        <v/>
      </c>
      <c r="E13" s="204" t="str">
        <f t="shared" si="2"/>
        <v/>
      </c>
      <c r="F13" s="151"/>
    </row>
    <row r="14" spans="1:9" x14ac:dyDescent="0.2">
      <c r="A14" s="201" t="str">
        <f t="shared" si="0"/>
        <v/>
      </c>
      <c r="B14" s="187"/>
      <c r="C14" s="187"/>
      <c r="D14" s="203" t="str">
        <f t="shared" si="1"/>
        <v/>
      </c>
      <c r="E14" s="204" t="str">
        <f t="shared" si="2"/>
        <v/>
      </c>
      <c r="F14" s="151"/>
    </row>
    <row r="15" spans="1:9" ht="15.75" thickBot="1" x14ac:dyDescent="0.25">
      <c r="A15" s="201" t="str">
        <f t="shared" si="0"/>
        <v/>
      </c>
      <c r="B15" s="216"/>
      <c r="C15" s="216"/>
      <c r="D15" s="203" t="str">
        <f t="shared" si="1"/>
        <v/>
      </c>
      <c r="E15" s="204" t="str">
        <f t="shared" si="2"/>
        <v/>
      </c>
      <c r="F15" s="151"/>
    </row>
    <row r="16" spans="1:9" ht="16.5" thickTop="1" x14ac:dyDescent="0.25">
      <c r="A16" s="78" t="s">
        <v>46</v>
      </c>
      <c r="B16" s="202">
        <f>SUBTOTAL(109,'Monthly BY data (optional)'!$B$4:$B$15)</f>
        <v>0</v>
      </c>
      <c r="C16" s="202">
        <f>SUBTOTAL(109,'Monthly BY data (optional)'!$C$4:$C$15)</f>
        <v>0</v>
      </c>
      <c r="D16" s="202">
        <f>SUBTOTAL(109,'Monthly BY data (optional)'!$D$4:$D$15)</f>
        <v>0</v>
      </c>
      <c r="E16" s="202">
        <f>SUBTOTAL(109,'Monthly BY data (optional)'!$E$4:$E$15)</f>
        <v>0</v>
      </c>
      <c r="F16" s="200"/>
    </row>
    <row r="18" spans="1:8" x14ac:dyDescent="0.2">
      <c r="A18" t="str">
        <f>targetType&amp;" vs. throughput (12 months)"</f>
        <v xml:space="preserve"> vs. throughput (12 months)</v>
      </c>
      <c r="G18" t="str">
        <f>"Actual and calculated "&amp;targetType&amp;" per month"</f>
        <v>Actual and calculated  per month</v>
      </c>
    </row>
    <row r="19" spans="1:8" x14ac:dyDescent="0.2">
      <c r="G19" t="str">
        <f>targetType&amp;" ("&amp;reportingUnits&amp;")"</f>
        <v xml:space="preserve"> ()</v>
      </c>
    </row>
    <row r="32" spans="1:8" x14ac:dyDescent="0.2">
      <c r="G32" s="153"/>
      <c r="H32" s="153"/>
    </row>
  </sheetData>
  <sheetProtection algorithmName="SHA-512" hashValue="Mm27oXrJ6nrMfbetFElkJpWb8cfMyNqUZVJfs4RpN/k+25yFe8eHw5OQLpxN5XAIOUiihfMVMNKVQLvuIvMN2A==" saltValue="HjH0nzHUWa4gkUovLhAjow==" spinCount="100000" sheet="1" objects="1" scenarios="1"/>
  <conditionalFormatting sqref="H6">
    <cfRule type="cellIs" dxfId="2" priority="1" operator="lessThan">
      <formula>0.8</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8B86D-926D-4FE5-8EC6-34D2F214EE72}">
  <sheetPr codeName="Sheet8">
    <tabColor theme="4" tint="0.79998168889431442"/>
  </sheetPr>
  <dimension ref="A1:K59"/>
  <sheetViews>
    <sheetView workbookViewId="0"/>
  </sheetViews>
  <sheetFormatPr defaultRowHeight="15" x14ac:dyDescent="0.2"/>
  <cols>
    <col min="1" max="1" width="13.88671875" customWidth="1"/>
    <col min="2" max="2" width="13.6640625" customWidth="1"/>
    <col min="3" max="3" width="17.5546875" customWidth="1"/>
    <col min="4" max="4" width="17.6640625" bestFit="1" customWidth="1"/>
    <col min="5" max="5" width="9.6640625" bestFit="1" customWidth="1"/>
    <col min="6" max="6" width="2.77734375" customWidth="1"/>
    <col min="7" max="7" width="30.109375" bestFit="1" customWidth="1"/>
    <col min="8" max="9" width="13.5546875" bestFit="1" customWidth="1"/>
    <col min="10" max="10" width="16.109375" bestFit="1" customWidth="1"/>
  </cols>
  <sheetData>
    <row r="1" spans="1:11" ht="15.75" x14ac:dyDescent="0.25">
      <c r="A1" s="75" t="s">
        <v>208</v>
      </c>
    </row>
    <row r="2" spans="1:11" ht="4.5" customHeight="1" x14ac:dyDescent="0.25">
      <c r="A2" s="75"/>
    </row>
    <row r="3" spans="1:11" ht="32.25" thickBot="1" x14ac:dyDescent="0.25">
      <c r="A3" s="158" t="s">
        <v>209</v>
      </c>
      <c r="B3" s="159" t="s">
        <v>210</v>
      </c>
      <c r="C3" s="159" t="str">
        <f>"Actual "&amp;targetType&amp;" "&amp;reportingUnits&amp;" / week"</f>
        <v>Actual   / week</v>
      </c>
      <c r="D3" s="160" t="str">
        <f>"Predicted "&amp;targetType&amp;" "&amp;reportingUnits&amp;" / week"</f>
        <v>Predicted   / week</v>
      </c>
      <c r="E3" s="205" t="s">
        <v>205</v>
      </c>
      <c r="F3" s="230"/>
    </row>
    <row r="4" spans="1:11" ht="15.75" thickBot="1" x14ac:dyDescent="0.25">
      <c r="A4" s="207" t="str">
        <f>IF(facilityBYStartDate="","",facilityBYStartDate)</f>
        <v/>
      </c>
      <c r="B4" s="187"/>
      <c r="C4" s="234"/>
      <c r="D4" s="203" t="str">
        <f>IFERROR($H$4/$H$7+$H$5*B4,"")</f>
        <v/>
      </c>
      <c r="E4" s="204" t="str">
        <f>IFERROR(D4-C4,"")</f>
        <v/>
      </c>
      <c r="F4" s="151"/>
      <c r="G4" t="str">
        <f>"Fixed "&amp;targetType</f>
        <v xml:space="preserve">Fixed </v>
      </c>
      <c r="H4" s="83" t="str">
        <f>IF($H$7&lt;52,"Enter more data",INTERCEPT('Weekly BY data (optional)'!$C$4:$C$55,'Weekly BY data (optional)'!$B$4:$B$55)*H7)</f>
        <v>Enter more data</v>
      </c>
      <c r="I4" t="str">
        <f>reportingUnits&amp;" / year"</f>
        <v xml:space="preserve"> / year</v>
      </c>
    </row>
    <row r="5" spans="1:11" ht="15.75" thickBot="1" x14ac:dyDescent="0.25">
      <c r="A5" s="207" t="str">
        <f t="shared" ref="A5:A36" si="0">IF(facilityBYStartDate="","",A4+7)</f>
        <v/>
      </c>
      <c r="B5" s="187"/>
      <c r="C5" s="234"/>
      <c r="D5" s="203" t="str">
        <f t="shared" ref="D5:D55" si="1">IFERROR($H$4/$H$7+$H$5*B5,"")</f>
        <v/>
      </c>
      <c r="E5" s="204" t="str">
        <f t="shared" ref="E5:E55" si="2">IFERROR(D5-C5,"")</f>
        <v/>
      </c>
      <c r="F5" s="151"/>
      <c r="G5" t="str">
        <f>targetType&amp;" intensity"</f>
        <v xml:space="preserve"> intensity</v>
      </c>
      <c r="H5" s="206" t="str">
        <f>IF($H$7&lt;52,"Enter more data",SLOPE('Weekly BY data (optional)'!$C$4:$C$55,'Weekly BY data (optional)'!$B$4:$B$55))</f>
        <v>Enter more data</v>
      </c>
      <c r="I5" t="str">
        <f>reportingUnits&amp;" / throughput unit"</f>
        <v xml:space="preserve"> / throughput unit</v>
      </c>
    </row>
    <row r="6" spans="1:11" x14ac:dyDescent="0.2">
      <c r="A6" s="207" t="str">
        <f t="shared" si="0"/>
        <v/>
      </c>
      <c r="B6" s="187"/>
      <c r="C6" s="234"/>
      <c r="D6" s="203" t="str">
        <f t="shared" si="1"/>
        <v/>
      </c>
      <c r="E6" s="204" t="str">
        <f t="shared" si="2"/>
        <v/>
      </c>
      <c r="F6" s="151"/>
      <c r="G6" t="s">
        <v>206</v>
      </c>
      <c r="H6" s="152" t="str">
        <f>IF($H$7&lt;52,"Enter more data",RSQ('Weekly BY data (optional)'!$C$4:$C$55,'Weekly BY data (optional)'!$B$4:$B$55))</f>
        <v>Enter more data</v>
      </c>
    </row>
    <row r="7" spans="1:11" x14ac:dyDescent="0.2">
      <c r="A7" s="207" t="str">
        <f t="shared" si="0"/>
        <v/>
      </c>
      <c r="B7" s="187"/>
      <c r="C7" s="234"/>
      <c r="D7" s="203" t="str">
        <f t="shared" si="1"/>
        <v/>
      </c>
      <c r="E7" s="204" t="str">
        <f t="shared" si="2"/>
        <v/>
      </c>
      <c r="F7" s="151"/>
      <c r="G7" t="s">
        <v>211</v>
      </c>
      <c r="H7">
        <f>COUNTA('Weekly BY data (optional)'!$B$4:$C$55)/2</f>
        <v>0</v>
      </c>
    </row>
    <row r="8" spans="1:11" x14ac:dyDescent="0.2">
      <c r="A8" s="207" t="str">
        <f t="shared" si="0"/>
        <v/>
      </c>
      <c r="B8" s="187"/>
      <c r="C8" s="234"/>
      <c r="D8" s="203" t="str">
        <f t="shared" si="1"/>
        <v/>
      </c>
      <c r="E8" s="204" t="str">
        <f t="shared" si="2"/>
        <v/>
      </c>
      <c r="F8" s="151"/>
    </row>
    <row r="9" spans="1:11" x14ac:dyDescent="0.2">
      <c r="A9" s="207" t="str">
        <f t="shared" si="0"/>
        <v/>
      </c>
      <c r="B9" s="187"/>
      <c r="C9" s="234"/>
      <c r="D9" s="203" t="str">
        <f t="shared" si="1"/>
        <v/>
      </c>
      <c r="E9" s="204" t="str">
        <f t="shared" si="2"/>
        <v/>
      </c>
      <c r="F9" s="151"/>
    </row>
    <row r="10" spans="1:11" x14ac:dyDescent="0.2">
      <c r="A10" s="207" t="str">
        <f t="shared" si="0"/>
        <v/>
      </c>
      <c r="B10" s="187"/>
      <c r="C10" s="234"/>
      <c r="D10" s="203" t="str">
        <f t="shared" si="1"/>
        <v/>
      </c>
      <c r="E10" s="204" t="str">
        <f t="shared" si="2"/>
        <v/>
      </c>
      <c r="F10" s="151"/>
      <c r="G10" t="str">
        <f>targetType&amp;" vs. throughput (52 weeks)"</f>
        <v xml:space="preserve"> vs. throughput (52 weeks)</v>
      </c>
      <c r="K10" t="str">
        <f>"Actual and calculated "&amp;targetType&amp;" per week"</f>
        <v>Actual and calculated  per week</v>
      </c>
    </row>
    <row r="11" spans="1:11" x14ac:dyDescent="0.2">
      <c r="A11" s="207" t="str">
        <f t="shared" si="0"/>
        <v/>
      </c>
      <c r="B11" s="187"/>
      <c r="C11" s="234"/>
      <c r="D11" s="203" t="str">
        <f t="shared" si="1"/>
        <v/>
      </c>
      <c r="E11" s="204" t="str">
        <f t="shared" si="2"/>
        <v/>
      </c>
      <c r="F11" s="151"/>
      <c r="K11" t="str">
        <f>targetType&amp;" ("&amp;reportingUnits&amp;")"</f>
        <v xml:space="preserve"> ()</v>
      </c>
    </row>
    <row r="12" spans="1:11" x14ac:dyDescent="0.2">
      <c r="A12" s="207" t="str">
        <f t="shared" si="0"/>
        <v/>
      </c>
      <c r="B12" s="187"/>
      <c r="C12" s="234"/>
      <c r="D12" s="203" t="str">
        <f t="shared" si="1"/>
        <v/>
      </c>
      <c r="E12" s="204" t="str">
        <f t="shared" si="2"/>
        <v/>
      </c>
      <c r="F12" s="151"/>
    </row>
    <row r="13" spans="1:11" x14ac:dyDescent="0.2">
      <c r="A13" s="207" t="str">
        <f t="shared" si="0"/>
        <v/>
      </c>
      <c r="B13" s="187"/>
      <c r="C13" s="234"/>
      <c r="D13" s="203" t="str">
        <f t="shared" si="1"/>
        <v/>
      </c>
      <c r="E13" s="204" t="str">
        <f t="shared" si="2"/>
        <v/>
      </c>
      <c r="F13" s="151"/>
    </row>
    <row r="14" spans="1:11" x14ac:dyDescent="0.2">
      <c r="A14" s="207" t="str">
        <f t="shared" si="0"/>
        <v/>
      </c>
      <c r="B14" s="187"/>
      <c r="C14" s="234"/>
      <c r="D14" s="203" t="str">
        <f t="shared" si="1"/>
        <v/>
      </c>
      <c r="E14" s="204" t="str">
        <f t="shared" si="2"/>
        <v/>
      </c>
      <c r="F14" s="151"/>
    </row>
    <row r="15" spans="1:11" x14ac:dyDescent="0.2">
      <c r="A15" s="207" t="str">
        <f t="shared" si="0"/>
        <v/>
      </c>
      <c r="B15" s="187"/>
      <c r="C15" s="234"/>
      <c r="D15" s="203" t="str">
        <f t="shared" si="1"/>
        <v/>
      </c>
      <c r="E15" s="204" t="str">
        <f t="shared" si="2"/>
        <v/>
      </c>
      <c r="F15" s="151"/>
    </row>
    <row r="16" spans="1:11" x14ac:dyDescent="0.2">
      <c r="A16" s="207" t="str">
        <f t="shared" si="0"/>
        <v/>
      </c>
      <c r="B16" s="187"/>
      <c r="C16" s="234"/>
      <c r="D16" s="203" t="str">
        <f t="shared" si="1"/>
        <v/>
      </c>
      <c r="E16" s="204" t="str">
        <f t="shared" si="2"/>
        <v/>
      </c>
      <c r="F16" s="151"/>
    </row>
    <row r="17" spans="1:6" x14ac:dyDescent="0.2">
      <c r="A17" s="207" t="str">
        <f t="shared" si="0"/>
        <v/>
      </c>
      <c r="B17" s="187"/>
      <c r="C17" s="234"/>
      <c r="D17" s="203" t="str">
        <f t="shared" si="1"/>
        <v/>
      </c>
      <c r="E17" s="204" t="str">
        <f t="shared" si="2"/>
        <v/>
      </c>
      <c r="F17" s="151"/>
    </row>
    <row r="18" spans="1:6" x14ac:dyDescent="0.2">
      <c r="A18" s="207" t="str">
        <f t="shared" si="0"/>
        <v/>
      </c>
      <c r="B18" s="187"/>
      <c r="C18" s="234"/>
      <c r="D18" s="203" t="str">
        <f t="shared" si="1"/>
        <v/>
      </c>
      <c r="E18" s="204" t="str">
        <f t="shared" si="2"/>
        <v/>
      </c>
      <c r="F18" s="151"/>
    </row>
    <row r="19" spans="1:6" x14ac:dyDescent="0.2">
      <c r="A19" s="207" t="str">
        <f t="shared" si="0"/>
        <v/>
      </c>
      <c r="B19" s="187"/>
      <c r="C19" s="234"/>
      <c r="D19" s="203" t="str">
        <f t="shared" si="1"/>
        <v/>
      </c>
      <c r="E19" s="204" t="str">
        <f t="shared" si="2"/>
        <v/>
      </c>
      <c r="F19" s="151"/>
    </row>
    <row r="20" spans="1:6" x14ac:dyDescent="0.2">
      <c r="A20" s="207" t="str">
        <f t="shared" si="0"/>
        <v/>
      </c>
      <c r="B20" s="187"/>
      <c r="C20" s="234"/>
      <c r="D20" s="203" t="str">
        <f t="shared" si="1"/>
        <v/>
      </c>
      <c r="E20" s="204" t="str">
        <f t="shared" si="2"/>
        <v/>
      </c>
      <c r="F20" s="151"/>
    </row>
    <row r="21" spans="1:6" x14ac:dyDescent="0.2">
      <c r="A21" s="207" t="str">
        <f t="shared" si="0"/>
        <v/>
      </c>
      <c r="B21" s="187"/>
      <c r="C21" s="234"/>
      <c r="D21" s="203" t="str">
        <f t="shared" si="1"/>
        <v/>
      </c>
      <c r="E21" s="204" t="str">
        <f t="shared" si="2"/>
        <v/>
      </c>
      <c r="F21" s="151"/>
    </row>
    <row r="22" spans="1:6" x14ac:dyDescent="0.2">
      <c r="A22" s="207" t="str">
        <f t="shared" si="0"/>
        <v/>
      </c>
      <c r="B22" s="187"/>
      <c r="C22" s="234"/>
      <c r="D22" s="203" t="str">
        <f t="shared" si="1"/>
        <v/>
      </c>
      <c r="E22" s="204" t="str">
        <f t="shared" si="2"/>
        <v/>
      </c>
      <c r="F22" s="151"/>
    </row>
    <row r="23" spans="1:6" x14ac:dyDescent="0.2">
      <c r="A23" s="207" t="str">
        <f t="shared" si="0"/>
        <v/>
      </c>
      <c r="B23" s="187"/>
      <c r="C23" s="234"/>
      <c r="D23" s="203" t="str">
        <f t="shared" si="1"/>
        <v/>
      </c>
      <c r="E23" s="204" t="str">
        <f t="shared" si="2"/>
        <v/>
      </c>
      <c r="F23" s="151"/>
    </row>
    <row r="24" spans="1:6" x14ac:dyDescent="0.2">
      <c r="A24" s="207" t="str">
        <f t="shared" si="0"/>
        <v/>
      </c>
      <c r="B24" s="187"/>
      <c r="C24" s="234"/>
      <c r="D24" s="203" t="str">
        <f t="shared" si="1"/>
        <v/>
      </c>
      <c r="E24" s="204" t="str">
        <f t="shared" si="2"/>
        <v/>
      </c>
      <c r="F24" s="151"/>
    </row>
    <row r="25" spans="1:6" x14ac:dyDescent="0.2">
      <c r="A25" s="207" t="str">
        <f t="shared" si="0"/>
        <v/>
      </c>
      <c r="B25" s="187"/>
      <c r="C25" s="234"/>
      <c r="D25" s="203" t="str">
        <f t="shared" si="1"/>
        <v/>
      </c>
      <c r="E25" s="204" t="str">
        <f t="shared" si="2"/>
        <v/>
      </c>
      <c r="F25" s="151"/>
    </row>
    <row r="26" spans="1:6" x14ac:dyDescent="0.2">
      <c r="A26" s="207" t="str">
        <f t="shared" si="0"/>
        <v/>
      </c>
      <c r="B26" s="187"/>
      <c r="C26" s="234"/>
      <c r="D26" s="203" t="str">
        <f t="shared" si="1"/>
        <v/>
      </c>
      <c r="E26" s="204" t="str">
        <f t="shared" si="2"/>
        <v/>
      </c>
      <c r="F26" s="151"/>
    </row>
    <row r="27" spans="1:6" x14ac:dyDescent="0.2">
      <c r="A27" s="207" t="str">
        <f t="shared" si="0"/>
        <v/>
      </c>
      <c r="B27" s="187"/>
      <c r="C27" s="234"/>
      <c r="D27" s="203" t="str">
        <f t="shared" si="1"/>
        <v/>
      </c>
      <c r="E27" s="204" t="str">
        <f t="shared" si="2"/>
        <v/>
      </c>
      <c r="F27" s="151"/>
    </row>
    <row r="28" spans="1:6" x14ac:dyDescent="0.2">
      <c r="A28" s="207" t="str">
        <f t="shared" si="0"/>
        <v/>
      </c>
      <c r="B28" s="187"/>
      <c r="C28" s="234"/>
      <c r="D28" s="203" t="str">
        <f t="shared" si="1"/>
        <v/>
      </c>
      <c r="E28" s="204" t="str">
        <f t="shared" si="2"/>
        <v/>
      </c>
      <c r="F28" s="151"/>
    </row>
    <row r="29" spans="1:6" x14ac:dyDescent="0.2">
      <c r="A29" s="207" t="str">
        <f t="shared" si="0"/>
        <v/>
      </c>
      <c r="B29" s="187"/>
      <c r="C29" s="234"/>
      <c r="D29" s="203" t="str">
        <f t="shared" si="1"/>
        <v/>
      </c>
      <c r="E29" s="204" t="str">
        <f t="shared" si="2"/>
        <v/>
      </c>
      <c r="F29" s="151"/>
    </row>
    <row r="30" spans="1:6" x14ac:dyDescent="0.2">
      <c r="A30" s="207" t="str">
        <f t="shared" si="0"/>
        <v/>
      </c>
      <c r="B30" s="187"/>
      <c r="C30" s="234"/>
      <c r="D30" s="203" t="str">
        <f t="shared" si="1"/>
        <v/>
      </c>
      <c r="E30" s="204" t="str">
        <f t="shared" si="2"/>
        <v/>
      </c>
      <c r="F30" s="151"/>
    </row>
    <row r="31" spans="1:6" x14ac:dyDescent="0.2">
      <c r="A31" s="207" t="str">
        <f t="shared" si="0"/>
        <v/>
      </c>
      <c r="B31" s="187"/>
      <c r="C31" s="234"/>
      <c r="D31" s="203" t="str">
        <f t="shared" si="1"/>
        <v/>
      </c>
      <c r="E31" s="204" t="str">
        <f t="shared" si="2"/>
        <v/>
      </c>
      <c r="F31" s="151"/>
    </row>
    <row r="32" spans="1:6" x14ac:dyDescent="0.2">
      <c r="A32" s="207" t="str">
        <f t="shared" si="0"/>
        <v/>
      </c>
      <c r="B32" s="187"/>
      <c r="C32" s="234"/>
      <c r="D32" s="203" t="str">
        <f t="shared" si="1"/>
        <v/>
      </c>
      <c r="E32" s="204" t="str">
        <f t="shared" si="2"/>
        <v/>
      </c>
      <c r="F32" s="151"/>
    </row>
    <row r="33" spans="1:6" x14ac:dyDescent="0.2">
      <c r="A33" s="207" t="str">
        <f t="shared" si="0"/>
        <v/>
      </c>
      <c r="B33" s="187"/>
      <c r="C33" s="234"/>
      <c r="D33" s="203" t="str">
        <f t="shared" si="1"/>
        <v/>
      </c>
      <c r="E33" s="204" t="str">
        <f t="shared" si="2"/>
        <v/>
      </c>
      <c r="F33" s="151"/>
    </row>
    <row r="34" spans="1:6" x14ac:dyDescent="0.2">
      <c r="A34" s="207" t="str">
        <f t="shared" si="0"/>
        <v/>
      </c>
      <c r="B34" s="187"/>
      <c r="C34" s="234"/>
      <c r="D34" s="203" t="str">
        <f t="shared" si="1"/>
        <v/>
      </c>
      <c r="E34" s="204" t="str">
        <f t="shared" si="2"/>
        <v/>
      </c>
      <c r="F34" s="151"/>
    </row>
    <row r="35" spans="1:6" x14ac:dyDescent="0.2">
      <c r="A35" s="207" t="str">
        <f t="shared" si="0"/>
        <v/>
      </c>
      <c r="B35" s="187"/>
      <c r="C35" s="234"/>
      <c r="D35" s="203" t="str">
        <f t="shared" si="1"/>
        <v/>
      </c>
      <c r="E35" s="204" t="str">
        <f t="shared" si="2"/>
        <v/>
      </c>
      <c r="F35" s="151"/>
    </row>
    <row r="36" spans="1:6" x14ac:dyDescent="0.2">
      <c r="A36" s="207" t="str">
        <f t="shared" si="0"/>
        <v/>
      </c>
      <c r="B36" s="187"/>
      <c r="C36" s="234"/>
      <c r="D36" s="203" t="str">
        <f t="shared" si="1"/>
        <v/>
      </c>
      <c r="E36" s="204" t="str">
        <f t="shared" si="2"/>
        <v/>
      </c>
      <c r="F36" s="151"/>
    </row>
    <row r="37" spans="1:6" x14ac:dyDescent="0.2">
      <c r="A37" s="207" t="str">
        <f t="shared" ref="A37:A55" si="3">IF(facilityBYStartDate="","",A36+7)</f>
        <v/>
      </c>
      <c r="B37" s="187"/>
      <c r="C37" s="234"/>
      <c r="D37" s="203" t="str">
        <f t="shared" si="1"/>
        <v/>
      </c>
      <c r="E37" s="204" t="str">
        <f t="shared" si="2"/>
        <v/>
      </c>
      <c r="F37" s="151"/>
    </row>
    <row r="38" spans="1:6" x14ac:dyDescent="0.2">
      <c r="A38" s="207" t="str">
        <f t="shared" si="3"/>
        <v/>
      </c>
      <c r="B38" s="187"/>
      <c r="C38" s="234"/>
      <c r="D38" s="203" t="str">
        <f t="shared" si="1"/>
        <v/>
      </c>
      <c r="E38" s="204" t="str">
        <f t="shared" si="2"/>
        <v/>
      </c>
      <c r="F38" s="151"/>
    </row>
    <row r="39" spans="1:6" x14ac:dyDescent="0.2">
      <c r="A39" s="207" t="str">
        <f t="shared" si="3"/>
        <v/>
      </c>
      <c r="B39" s="187"/>
      <c r="C39" s="234"/>
      <c r="D39" s="203" t="str">
        <f t="shared" si="1"/>
        <v/>
      </c>
      <c r="E39" s="204" t="str">
        <f t="shared" si="2"/>
        <v/>
      </c>
      <c r="F39" s="151"/>
    </row>
    <row r="40" spans="1:6" x14ac:dyDescent="0.2">
      <c r="A40" s="207" t="str">
        <f t="shared" si="3"/>
        <v/>
      </c>
      <c r="B40" s="187"/>
      <c r="C40" s="234"/>
      <c r="D40" s="203" t="str">
        <f t="shared" si="1"/>
        <v/>
      </c>
      <c r="E40" s="204" t="str">
        <f t="shared" si="2"/>
        <v/>
      </c>
      <c r="F40" s="151"/>
    </row>
    <row r="41" spans="1:6" x14ac:dyDescent="0.2">
      <c r="A41" s="207" t="str">
        <f t="shared" si="3"/>
        <v/>
      </c>
      <c r="B41" s="187"/>
      <c r="C41" s="234"/>
      <c r="D41" s="203" t="str">
        <f t="shared" si="1"/>
        <v/>
      </c>
      <c r="E41" s="204" t="str">
        <f t="shared" si="2"/>
        <v/>
      </c>
      <c r="F41" s="151"/>
    </row>
    <row r="42" spans="1:6" x14ac:dyDescent="0.2">
      <c r="A42" s="207" t="str">
        <f t="shared" si="3"/>
        <v/>
      </c>
      <c r="B42" s="187"/>
      <c r="C42" s="234"/>
      <c r="D42" s="203" t="str">
        <f t="shared" si="1"/>
        <v/>
      </c>
      <c r="E42" s="204" t="str">
        <f t="shared" si="2"/>
        <v/>
      </c>
      <c r="F42" s="151"/>
    </row>
    <row r="43" spans="1:6" x14ac:dyDescent="0.2">
      <c r="A43" s="207" t="str">
        <f t="shared" si="3"/>
        <v/>
      </c>
      <c r="B43" s="187"/>
      <c r="C43" s="234"/>
      <c r="D43" s="203" t="str">
        <f t="shared" si="1"/>
        <v/>
      </c>
      <c r="E43" s="204" t="str">
        <f t="shared" si="2"/>
        <v/>
      </c>
      <c r="F43" s="151"/>
    </row>
    <row r="44" spans="1:6" x14ac:dyDescent="0.2">
      <c r="A44" s="207" t="str">
        <f t="shared" si="3"/>
        <v/>
      </c>
      <c r="B44" s="187"/>
      <c r="C44" s="234"/>
      <c r="D44" s="203" t="str">
        <f t="shared" si="1"/>
        <v/>
      </c>
      <c r="E44" s="204" t="str">
        <f t="shared" si="2"/>
        <v/>
      </c>
      <c r="F44" s="151"/>
    </row>
    <row r="45" spans="1:6" x14ac:dyDescent="0.2">
      <c r="A45" s="207" t="str">
        <f t="shared" si="3"/>
        <v/>
      </c>
      <c r="B45" s="187"/>
      <c r="C45" s="234"/>
      <c r="D45" s="203" t="str">
        <f t="shared" si="1"/>
        <v/>
      </c>
      <c r="E45" s="204" t="str">
        <f t="shared" si="2"/>
        <v/>
      </c>
      <c r="F45" s="151"/>
    </row>
    <row r="46" spans="1:6" x14ac:dyDescent="0.2">
      <c r="A46" s="207" t="str">
        <f t="shared" si="3"/>
        <v/>
      </c>
      <c r="B46" s="187"/>
      <c r="C46" s="234"/>
      <c r="D46" s="203" t="str">
        <f t="shared" si="1"/>
        <v/>
      </c>
      <c r="E46" s="204" t="str">
        <f t="shared" si="2"/>
        <v/>
      </c>
      <c r="F46" s="151"/>
    </row>
    <row r="47" spans="1:6" x14ac:dyDescent="0.2">
      <c r="A47" s="207" t="str">
        <f t="shared" si="3"/>
        <v/>
      </c>
      <c r="B47" s="187"/>
      <c r="C47" s="234"/>
      <c r="D47" s="203" t="str">
        <f t="shared" si="1"/>
        <v/>
      </c>
      <c r="E47" s="204" t="str">
        <f t="shared" si="2"/>
        <v/>
      </c>
      <c r="F47" s="151"/>
    </row>
    <row r="48" spans="1:6" x14ac:dyDescent="0.2">
      <c r="A48" s="207" t="str">
        <f t="shared" si="3"/>
        <v/>
      </c>
      <c r="B48" s="187"/>
      <c r="C48" s="234"/>
      <c r="D48" s="203" t="str">
        <f t="shared" si="1"/>
        <v/>
      </c>
      <c r="E48" s="204" t="str">
        <f t="shared" si="2"/>
        <v/>
      </c>
      <c r="F48" s="151"/>
    </row>
    <row r="49" spans="1:6" x14ac:dyDescent="0.2">
      <c r="A49" s="207" t="str">
        <f t="shared" si="3"/>
        <v/>
      </c>
      <c r="B49" s="187"/>
      <c r="C49" s="234"/>
      <c r="D49" s="203" t="str">
        <f t="shared" si="1"/>
        <v/>
      </c>
      <c r="E49" s="204" t="str">
        <f t="shared" si="2"/>
        <v/>
      </c>
      <c r="F49" s="151"/>
    </row>
    <row r="50" spans="1:6" x14ac:dyDescent="0.2">
      <c r="A50" s="207" t="str">
        <f t="shared" si="3"/>
        <v/>
      </c>
      <c r="B50" s="187"/>
      <c r="C50" s="234"/>
      <c r="D50" s="203" t="str">
        <f t="shared" si="1"/>
        <v/>
      </c>
      <c r="E50" s="204" t="str">
        <f t="shared" si="2"/>
        <v/>
      </c>
      <c r="F50" s="151"/>
    </row>
    <row r="51" spans="1:6" x14ac:dyDescent="0.2">
      <c r="A51" s="207" t="str">
        <f t="shared" si="3"/>
        <v/>
      </c>
      <c r="B51" s="187"/>
      <c r="C51" s="234"/>
      <c r="D51" s="203" t="str">
        <f t="shared" si="1"/>
        <v/>
      </c>
      <c r="E51" s="204" t="str">
        <f t="shared" si="2"/>
        <v/>
      </c>
      <c r="F51" s="151"/>
    </row>
    <row r="52" spans="1:6" x14ac:dyDescent="0.2">
      <c r="A52" s="207" t="str">
        <f t="shared" si="3"/>
        <v/>
      </c>
      <c r="B52" s="187"/>
      <c r="C52" s="234"/>
      <c r="D52" s="203" t="str">
        <f t="shared" si="1"/>
        <v/>
      </c>
      <c r="E52" s="204" t="str">
        <f t="shared" si="2"/>
        <v/>
      </c>
      <c r="F52" s="151"/>
    </row>
    <row r="53" spans="1:6" x14ac:dyDescent="0.2">
      <c r="A53" s="207" t="str">
        <f t="shared" si="3"/>
        <v/>
      </c>
      <c r="B53" s="187"/>
      <c r="C53" s="234"/>
      <c r="D53" s="203" t="str">
        <f t="shared" si="1"/>
        <v/>
      </c>
      <c r="E53" s="204" t="str">
        <f t="shared" si="2"/>
        <v/>
      </c>
      <c r="F53" s="151"/>
    </row>
    <row r="54" spans="1:6" x14ac:dyDescent="0.2">
      <c r="A54" s="207" t="str">
        <f t="shared" si="3"/>
        <v/>
      </c>
      <c r="B54" s="187"/>
      <c r="C54" s="234"/>
      <c r="D54" s="203" t="str">
        <f t="shared" si="1"/>
        <v/>
      </c>
      <c r="E54" s="204" t="str">
        <f t="shared" si="2"/>
        <v/>
      </c>
      <c r="F54" s="151"/>
    </row>
    <row r="55" spans="1:6" ht="15.75" thickBot="1" x14ac:dyDescent="0.25">
      <c r="A55" s="207" t="str">
        <f t="shared" si="3"/>
        <v/>
      </c>
      <c r="B55" s="187"/>
      <c r="C55" s="234"/>
      <c r="D55" s="203" t="str">
        <f t="shared" si="1"/>
        <v/>
      </c>
      <c r="E55" s="204" t="str">
        <f t="shared" si="2"/>
        <v/>
      </c>
      <c r="F55" s="151"/>
    </row>
    <row r="56" spans="1:6" ht="16.5" thickTop="1" x14ac:dyDescent="0.25">
      <c r="A56" s="78" t="s">
        <v>46</v>
      </c>
      <c r="B56" s="202">
        <f>SUBTOTAL(109,'Weekly BY data (optional)'!$B$4:$B$55)</f>
        <v>0</v>
      </c>
      <c r="C56" s="208">
        <f>SUBTOTAL(109,'Weekly BY data (optional)'!$C$4:$C$55)</f>
        <v>0</v>
      </c>
      <c r="D56" s="208">
        <f>SUBTOTAL(109,'Weekly BY data (optional)'!$D$4:$D$55)</f>
        <v>0</v>
      </c>
      <c r="E56" s="208">
        <f>SUBTOTAL(109,'Weekly BY data (optional)'!$E$4:$E$55)</f>
        <v>0</v>
      </c>
      <c r="F56" s="200"/>
    </row>
    <row r="58" spans="1:6" x14ac:dyDescent="0.2">
      <c r="A58" t="str">
        <f>"Total primary base year "&amp;targetType&amp;" (excluding ETS) from the ""Base year fuel types"" tab"</f>
        <v>Total primary base year  (excluding ETS) from the "Base year fuel types" tab</v>
      </c>
    </row>
    <row r="59" spans="1:6" x14ac:dyDescent="0.2">
      <c r="C59" s="233">
        <f>primaryBaseYearEnergy</f>
        <v>0</v>
      </c>
    </row>
  </sheetData>
  <sheetProtection algorithmName="SHA-512" hashValue="Gsl59vWeZxqlH/mjacrmFeozKdjVYTDwuFggH6pR36pBxNnFhh0U9zkWfEthkvEof93Fmb+fz5Z7IgYlQrLNvQ==" saltValue="PjVNNrowbOYm1KZTei1+3g==" spinCount="100000" sheet="1" objects="1" scenarios="1"/>
  <conditionalFormatting sqref="H4">
    <cfRule type="expression" dxfId="1" priority="1">
      <formula>IF($H$4&lt;0,1,0)</formula>
    </cfRule>
  </conditionalFormatting>
  <conditionalFormatting sqref="H6">
    <cfRule type="cellIs" dxfId="0" priority="2" operator="lessThan">
      <formula>0.8</formula>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668E0-8B46-4C7E-AF90-B383AC0E232E}">
  <sheetPr codeName="Sheet10">
    <tabColor theme="4" tint="0.79998168889431442"/>
  </sheetPr>
  <dimension ref="A1:S34"/>
  <sheetViews>
    <sheetView workbookViewId="0">
      <selection activeCell="B4" sqref="B4"/>
    </sheetView>
  </sheetViews>
  <sheetFormatPr defaultRowHeight="15" x14ac:dyDescent="0.2"/>
  <cols>
    <col min="1" max="1" width="19.33203125" customWidth="1"/>
    <col min="2" max="2" width="13.44140625" bestFit="1" customWidth="1"/>
    <col min="3" max="16" width="10.77734375" customWidth="1"/>
    <col min="17" max="17" width="14.44140625" bestFit="1" customWidth="1"/>
    <col min="18" max="18" width="18.21875" bestFit="1" customWidth="1"/>
    <col min="19" max="19" width="11.44140625" customWidth="1"/>
  </cols>
  <sheetData>
    <row r="1" spans="1:19" ht="15.75" x14ac:dyDescent="0.25">
      <c r="A1" s="75" t="str">
        <f>"Complete the table with monthly "&amp;targetType&amp;" and throughput data for up to 15 products made during the base year period to estimate the FIXED and VARIABLE components"</f>
        <v>Complete the table with monthly  and throughput data for up to 15 products made during the base year period to estimate the FIXED and VARIABLE components</v>
      </c>
    </row>
    <row r="2" spans="1:19" ht="3" customHeight="1" x14ac:dyDescent="0.25">
      <c r="A2" s="75"/>
    </row>
    <row r="3" spans="1:19" ht="31.5" x14ac:dyDescent="0.2">
      <c r="A3" s="158" t="s">
        <v>203</v>
      </c>
      <c r="B3" s="159" t="s">
        <v>369</v>
      </c>
      <c r="C3" s="159" t="s">
        <v>370</v>
      </c>
      <c r="D3" s="159" t="s">
        <v>371</v>
      </c>
      <c r="E3" s="159" t="s">
        <v>372</v>
      </c>
      <c r="F3" s="159" t="s">
        <v>373</v>
      </c>
      <c r="G3" s="159" t="s">
        <v>374</v>
      </c>
      <c r="H3" s="159" t="s">
        <v>375</v>
      </c>
      <c r="I3" s="159" t="s">
        <v>376</v>
      </c>
      <c r="J3" s="159" t="s">
        <v>377</v>
      </c>
      <c r="K3" s="159" t="s">
        <v>378</v>
      </c>
      <c r="L3" s="159" t="s">
        <v>379</v>
      </c>
      <c r="M3" s="159" t="s">
        <v>380</v>
      </c>
      <c r="N3" s="159" t="s">
        <v>381</v>
      </c>
      <c r="O3" s="159" t="s">
        <v>382</v>
      </c>
      <c r="P3" s="159" t="s">
        <v>383</v>
      </c>
      <c r="Q3" s="159" t="str">
        <f>"Actual "&amp;targetType&amp;" "&amp;reportingUnits&amp;" / month"</f>
        <v>Actual   / month</v>
      </c>
      <c r="R3" s="160" t="str">
        <f>"Calculated "&amp;targetType&amp;" "&amp;reportingUnits&amp;" / month"</f>
        <v>Calculated   / month</v>
      </c>
      <c r="S3" s="160" t="s">
        <v>205</v>
      </c>
    </row>
    <row r="4" spans="1:19" x14ac:dyDescent="0.2">
      <c r="A4" s="201" t="str">
        <f t="shared" ref="A4:A15" si="0">IF(facilityBYStartDate="","",EDATE(facilityBYStartDate,ROW(A4)-4))</f>
        <v/>
      </c>
      <c r="B4" s="187">
        <v>0</v>
      </c>
      <c r="C4" s="187">
        <v>0</v>
      </c>
      <c r="D4" s="187">
        <v>0</v>
      </c>
      <c r="E4" s="187">
        <v>0</v>
      </c>
      <c r="F4" s="187">
        <v>0</v>
      </c>
      <c r="G4" s="187">
        <v>0</v>
      </c>
      <c r="H4" s="187">
        <v>0</v>
      </c>
      <c r="I4" s="187">
        <v>0</v>
      </c>
      <c r="J4" s="187">
        <v>0</v>
      </c>
      <c r="K4" s="187">
        <v>0</v>
      </c>
      <c r="L4" s="187">
        <v>0</v>
      </c>
      <c r="M4" s="187">
        <v>0</v>
      </c>
      <c r="N4" s="187">
        <v>0</v>
      </c>
      <c r="O4" s="187">
        <v>0</v>
      </c>
      <c r="P4" s="187">
        <v>0</v>
      </c>
      <c r="Q4" s="187">
        <v>0</v>
      </c>
      <c r="R4" s="203">
        <f>$B$19/12+B4*$B$20+C4*$B$21+D4*$B$22+E4*$B$23+F4*$B$24+G4*$B$25+H4*$B$26+I4*$B$27+J4*$B$28+K4*$B$29+L4*$B$30+M4*$B$31+N4*$B$32+O4*$B$33+P4*$B$34</f>
        <v>0</v>
      </c>
      <c r="S4" s="204">
        <f>IFERROR(R4-Q4,"")</f>
        <v>0</v>
      </c>
    </row>
    <row r="5" spans="1:19" x14ac:dyDescent="0.2">
      <c r="A5" s="201" t="str">
        <f t="shared" si="0"/>
        <v/>
      </c>
      <c r="B5" s="187">
        <v>0</v>
      </c>
      <c r="C5" s="187">
        <v>0</v>
      </c>
      <c r="D5" s="187">
        <v>0</v>
      </c>
      <c r="E5" s="187">
        <v>0</v>
      </c>
      <c r="F5" s="187">
        <v>0</v>
      </c>
      <c r="G5" s="187">
        <v>0</v>
      </c>
      <c r="H5" s="187">
        <v>0</v>
      </c>
      <c r="I5" s="187">
        <v>0</v>
      </c>
      <c r="J5" s="187">
        <v>0</v>
      </c>
      <c r="K5" s="187">
        <v>0</v>
      </c>
      <c r="L5" s="187">
        <v>0</v>
      </c>
      <c r="M5" s="187">
        <v>0</v>
      </c>
      <c r="N5" s="187">
        <v>0</v>
      </c>
      <c r="O5" s="187">
        <v>0</v>
      </c>
      <c r="P5" s="187">
        <v>0</v>
      </c>
      <c r="Q5" s="187">
        <v>0</v>
      </c>
      <c r="R5" s="203">
        <f t="shared" ref="R5:R15" si="1">$B$19/12+B5*$B$20+C5*$B$21+D5*$B$22+E5*$B$23+F5*$B$24+G5*$B$25+H5*$B$26+I5*$B$27+J5*$B$28+K5*$B$29+L5*$B$30+M5*$B$31+N5*$B$32+O5*$B$33+P5*$B$34</f>
        <v>0</v>
      </c>
      <c r="S5" s="204">
        <f t="shared" ref="S5:S15" si="2">IFERROR(R5-Q5,"")</f>
        <v>0</v>
      </c>
    </row>
    <row r="6" spans="1:19" x14ac:dyDescent="0.2">
      <c r="A6" s="201" t="str">
        <f t="shared" si="0"/>
        <v/>
      </c>
      <c r="B6" s="187">
        <v>0</v>
      </c>
      <c r="C6" s="187">
        <v>0</v>
      </c>
      <c r="D6" s="187">
        <v>0</v>
      </c>
      <c r="E6" s="187">
        <v>0</v>
      </c>
      <c r="F6" s="187">
        <v>0</v>
      </c>
      <c r="G6" s="187">
        <v>0</v>
      </c>
      <c r="H6" s="187">
        <v>0</v>
      </c>
      <c r="I6" s="187">
        <v>0</v>
      </c>
      <c r="J6" s="187">
        <v>0</v>
      </c>
      <c r="K6" s="187">
        <v>0</v>
      </c>
      <c r="L6" s="187">
        <v>0</v>
      </c>
      <c r="M6" s="187">
        <v>0</v>
      </c>
      <c r="N6" s="187">
        <v>0</v>
      </c>
      <c r="O6" s="187">
        <v>0</v>
      </c>
      <c r="P6" s="187">
        <v>0</v>
      </c>
      <c r="Q6" s="187">
        <v>0</v>
      </c>
      <c r="R6" s="203">
        <f t="shared" si="1"/>
        <v>0</v>
      </c>
      <c r="S6" s="204">
        <f t="shared" si="2"/>
        <v>0</v>
      </c>
    </row>
    <row r="7" spans="1:19" x14ac:dyDescent="0.2">
      <c r="A7" s="201" t="str">
        <f t="shared" si="0"/>
        <v/>
      </c>
      <c r="B7" s="187">
        <v>0</v>
      </c>
      <c r="C7" s="187">
        <v>0</v>
      </c>
      <c r="D7" s="187">
        <v>0</v>
      </c>
      <c r="E7" s="187">
        <v>0</v>
      </c>
      <c r="F7" s="187">
        <v>0</v>
      </c>
      <c r="G7" s="187">
        <v>0</v>
      </c>
      <c r="H7" s="187">
        <v>0</v>
      </c>
      <c r="I7" s="187">
        <v>0</v>
      </c>
      <c r="J7" s="187">
        <v>0</v>
      </c>
      <c r="K7" s="187">
        <v>0</v>
      </c>
      <c r="L7" s="187">
        <v>0</v>
      </c>
      <c r="M7" s="187">
        <v>0</v>
      </c>
      <c r="N7" s="187">
        <v>0</v>
      </c>
      <c r="O7" s="187">
        <v>0</v>
      </c>
      <c r="P7" s="187">
        <v>0</v>
      </c>
      <c r="Q7" s="187">
        <v>0</v>
      </c>
      <c r="R7" s="203">
        <f t="shared" si="1"/>
        <v>0</v>
      </c>
      <c r="S7" s="204">
        <f t="shared" si="2"/>
        <v>0</v>
      </c>
    </row>
    <row r="8" spans="1:19" x14ac:dyDescent="0.2">
      <c r="A8" s="201" t="str">
        <f t="shared" si="0"/>
        <v/>
      </c>
      <c r="B8" s="187">
        <v>0</v>
      </c>
      <c r="C8" s="187">
        <v>0</v>
      </c>
      <c r="D8" s="187">
        <v>0</v>
      </c>
      <c r="E8" s="187">
        <v>0</v>
      </c>
      <c r="F8" s="187">
        <v>0</v>
      </c>
      <c r="G8" s="187">
        <v>0</v>
      </c>
      <c r="H8" s="187">
        <v>0</v>
      </c>
      <c r="I8" s="187">
        <v>0</v>
      </c>
      <c r="J8" s="187">
        <v>0</v>
      </c>
      <c r="K8" s="187">
        <v>0</v>
      </c>
      <c r="L8" s="187">
        <v>0</v>
      </c>
      <c r="M8" s="187">
        <v>0</v>
      </c>
      <c r="N8" s="187">
        <v>0</v>
      </c>
      <c r="O8" s="187">
        <v>0</v>
      </c>
      <c r="P8" s="187">
        <v>0</v>
      </c>
      <c r="Q8" s="187">
        <v>0</v>
      </c>
      <c r="R8" s="203">
        <f t="shared" si="1"/>
        <v>0</v>
      </c>
      <c r="S8" s="204">
        <f t="shared" si="2"/>
        <v>0</v>
      </c>
    </row>
    <row r="9" spans="1:19" x14ac:dyDescent="0.2">
      <c r="A9" s="201" t="str">
        <f t="shared" si="0"/>
        <v/>
      </c>
      <c r="B9" s="187">
        <v>0</v>
      </c>
      <c r="C9" s="187">
        <v>0</v>
      </c>
      <c r="D9" s="187">
        <v>0</v>
      </c>
      <c r="E9" s="187">
        <v>0</v>
      </c>
      <c r="F9" s="187">
        <v>0</v>
      </c>
      <c r="G9" s="187">
        <v>0</v>
      </c>
      <c r="H9" s="187">
        <v>0</v>
      </c>
      <c r="I9" s="187">
        <v>0</v>
      </c>
      <c r="J9" s="187">
        <v>0</v>
      </c>
      <c r="K9" s="187">
        <v>0</v>
      </c>
      <c r="L9" s="187">
        <v>0</v>
      </c>
      <c r="M9" s="187">
        <v>0</v>
      </c>
      <c r="N9" s="187">
        <v>0</v>
      </c>
      <c r="O9" s="187">
        <v>0</v>
      </c>
      <c r="P9" s="187">
        <v>0</v>
      </c>
      <c r="Q9" s="187">
        <v>0</v>
      </c>
      <c r="R9" s="203">
        <f t="shared" si="1"/>
        <v>0</v>
      </c>
      <c r="S9" s="204">
        <f t="shared" si="2"/>
        <v>0</v>
      </c>
    </row>
    <row r="10" spans="1:19" x14ac:dyDescent="0.2">
      <c r="A10" s="201" t="str">
        <f t="shared" si="0"/>
        <v/>
      </c>
      <c r="B10" s="187">
        <v>0</v>
      </c>
      <c r="C10" s="187">
        <v>0</v>
      </c>
      <c r="D10" s="187">
        <v>0</v>
      </c>
      <c r="E10" s="187">
        <v>0</v>
      </c>
      <c r="F10" s="187">
        <v>0</v>
      </c>
      <c r="G10" s="187">
        <v>0</v>
      </c>
      <c r="H10" s="187">
        <v>0</v>
      </c>
      <c r="I10" s="187">
        <v>0</v>
      </c>
      <c r="J10" s="187">
        <v>0</v>
      </c>
      <c r="K10" s="187">
        <v>0</v>
      </c>
      <c r="L10" s="187">
        <v>0</v>
      </c>
      <c r="M10" s="187">
        <v>0</v>
      </c>
      <c r="N10" s="187">
        <v>0</v>
      </c>
      <c r="O10" s="187">
        <v>0</v>
      </c>
      <c r="P10" s="187">
        <v>0</v>
      </c>
      <c r="Q10" s="187">
        <v>0</v>
      </c>
      <c r="R10" s="203">
        <f t="shared" si="1"/>
        <v>0</v>
      </c>
      <c r="S10" s="204">
        <f t="shared" si="2"/>
        <v>0</v>
      </c>
    </row>
    <row r="11" spans="1:19" x14ac:dyDescent="0.2">
      <c r="A11" s="201" t="str">
        <f t="shared" si="0"/>
        <v/>
      </c>
      <c r="B11" s="187">
        <v>0</v>
      </c>
      <c r="C11" s="187">
        <v>0</v>
      </c>
      <c r="D11" s="187">
        <v>0</v>
      </c>
      <c r="E11" s="187">
        <v>0</v>
      </c>
      <c r="F11" s="187">
        <v>0</v>
      </c>
      <c r="G11" s="187">
        <v>0</v>
      </c>
      <c r="H11" s="187">
        <v>0</v>
      </c>
      <c r="I11" s="187">
        <v>0</v>
      </c>
      <c r="J11" s="187">
        <v>0</v>
      </c>
      <c r="K11" s="187">
        <v>0</v>
      </c>
      <c r="L11" s="187">
        <v>0</v>
      </c>
      <c r="M11" s="187">
        <v>0</v>
      </c>
      <c r="N11" s="187">
        <v>0</v>
      </c>
      <c r="O11" s="187">
        <v>0</v>
      </c>
      <c r="P11" s="187">
        <v>0</v>
      </c>
      <c r="Q11" s="187">
        <v>0</v>
      </c>
      <c r="R11" s="203">
        <f t="shared" si="1"/>
        <v>0</v>
      </c>
      <c r="S11" s="204">
        <f t="shared" si="2"/>
        <v>0</v>
      </c>
    </row>
    <row r="12" spans="1:19" x14ac:dyDescent="0.2">
      <c r="A12" s="201" t="str">
        <f t="shared" si="0"/>
        <v/>
      </c>
      <c r="B12" s="187">
        <v>0</v>
      </c>
      <c r="C12" s="187">
        <v>0</v>
      </c>
      <c r="D12" s="187">
        <v>0</v>
      </c>
      <c r="E12" s="187">
        <v>0</v>
      </c>
      <c r="F12" s="187">
        <v>0</v>
      </c>
      <c r="G12" s="187">
        <v>0</v>
      </c>
      <c r="H12" s="187">
        <v>0</v>
      </c>
      <c r="I12" s="187">
        <v>0</v>
      </c>
      <c r="J12" s="187">
        <v>0</v>
      </c>
      <c r="K12" s="187">
        <v>0</v>
      </c>
      <c r="L12" s="187">
        <v>0</v>
      </c>
      <c r="M12" s="187">
        <v>0</v>
      </c>
      <c r="N12" s="187">
        <v>0</v>
      </c>
      <c r="O12" s="187">
        <v>0</v>
      </c>
      <c r="P12" s="187">
        <v>0</v>
      </c>
      <c r="Q12" s="187">
        <v>0</v>
      </c>
      <c r="R12" s="203">
        <f t="shared" si="1"/>
        <v>0</v>
      </c>
      <c r="S12" s="204">
        <f t="shared" si="2"/>
        <v>0</v>
      </c>
    </row>
    <row r="13" spans="1:19" x14ac:dyDescent="0.2">
      <c r="A13" s="201" t="str">
        <f t="shared" si="0"/>
        <v/>
      </c>
      <c r="B13" s="187">
        <v>0</v>
      </c>
      <c r="C13" s="187">
        <v>0</v>
      </c>
      <c r="D13" s="187">
        <v>0</v>
      </c>
      <c r="E13" s="187">
        <v>0</v>
      </c>
      <c r="F13" s="187">
        <v>0</v>
      </c>
      <c r="G13" s="187">
        <v>0</v>
      </c>
      <c r="H13" s="187">
        <v>0</v>
      </c>
      <c r="I13" s="187">
        <v>0</v>
      </c>
      <c r="J13" s="187">
        <v>0</v>
      </c>
      <c r="K13" s="187">
        <v>0</v>
      </c>
      <c r="L13" s="187">
        <v>0</v>
      </c>
      <c r="M13" s="187">
        <v>0</v>
      </c>
      <c r="N13" s="187">
        <v>0</v>
      </c>
      <c r="O13" s="187">
        <v>0</v>
      </c>
      <c r="P13" s="187">
        <v>0</v>
      </c>
      <c r="Q13" s="187">
        <v>0</v>
      </c>
      <c r="R13" s="203">
        <f t="shared" si="1"/>
        <v>0</v>
      </c>
      <c r="S13" s="204">
        <f t="shared" si="2"/>
        <v>0</v>
      </c>
    </row>
    <row r="14" spans="1:19" x14ac:dyDescent="0.2">
      <c r="A14" s="201" t="str">
        <f t="shared" si="0"/>
        <v/>
      </c>
      <c r="B14" s="187">
        <v>0</v>
      </c>
      <c r="C14" s="187">
        <v>0</v>
      </c>
      <c r="D14" s="187">
        <v>0</v>
      </c>
      <c r="E14" s="187">
        <v>0</v>
      </c>
      <c r="F14" s="187">
        <v>0</v>
      </c>
      <c r="G14" s="187">
        <v>0</v>
      </c>
      <c r="H14" s="187">
        <v>0</v>
      </c>
      <c r="I14" s="187">
        <v>0</v>
      </c>
      <c r="J14" s="187">
        <v>0</v>
      </c>
      <c r="K14" s="187">
        <v>0</v>
      </c>
      <c r="L14" s="187">
        <v>0</v>
      </c>
      <c r="M14" s="187">
        <v>0</v>
      </c>
      <c r="N14" s="187">
        <v>0</v>
      </c>
      <c r="O14" s="187">
        <v>0</v>
      </c>
      <c r="P14" s="187">
        <v>0</v>
      </c>
      <c r="Q14" s="187">
        <v>0</v>
      </c>
      <c r="R14" s="203">
        <f t="shared" si="1"/>
        <v>0</v>
      </c>
      <c r="S14" s="204">
        <f t="shared" si="2"/>
        <v>0</v>
      </c>
    </row>
    <row r="15" spans="1:19" ht="15.75" thickBot="1" x14ac:dyDescent="0.25">
      <c r="A15" s="201" t="str">
        <f t="shared" si="0"/>
        <v/>
      </c>
      <c r="B15" s="187">
        <v>0</v>
      </c>
      <c r="C15" s="187">
        <v>0</v>
      </c>
      <c r="D15" s="187">
        <v>0</v>
      </c>
      <c r="E15" s="187">
        <v>0</v>
      </c>
      <c r="F15" s="187">
        <v>0</v>
      </c>
      <c r="G15" s="187">
        <v>0</v>
      </c>
      <c r="H15" s="187">
        <v>0</v>
      </c>
      <c r="I15" s="187">
        <v>0</v>
      </c>
      <c r="J15" s="187">
        <v>0</v>
      </c>
      <c r="K15" s="187">
        <v>0</v>
      </c>
      <c r="L15" s="187">
        <v>0</v>
      </c>
      <c r="M15" s="187">
        <v>0</v>
      </c>
      <c r="N15" s="187">
        <v>0</v>
      </c>
      <c r="O15" s="187">
        <v>0</v>
      </c>
      <c r="P15" s="187">
        <v>0</v>
      </c>
      <c r="Q15" s="187">
        <v>0</v>
      </c>
      <c r="R15" s="203">
        <f t="shared" si="1"/>
        <v>0</v>
      </c>
      <c r="S15" s="204">
        <f t="shared" si="2"/>
        <v>0</v>
      </c>
    </row>
    <row r="16" spans="1:19" ht="16.5" thickTop="1" x14ac:dyDescent="0.25">
      <c r="A16" s="78" t="s">
        <v>46</v>
      </c>
      <c r="B16" s="202">
        <f>SUBTOTAL(109,B$4:B$15)</f>
        <v>0</v>
      </c>
      <c r="C16" s="202">
        <f t="shared" ref="C16:S16" si="3">SUBTOTAL(109,C$4:C$15)</f>
        <v>0</v>
      </c>
      <c r="D16" s="202">
        <f t="shared" si="3"/>
        <v>0</v>
      </c>
      <c r="E16" s="202">
        <f t="shared" si="3"/>
        <v>0</v>
      </c>
      <c r="F16" s="202">
        <f t="shared" si="3"/>
        <v>0</v>
      </c>
      <c r="G16" s="202">
        <f t="shared" si="3"/>
        <v>0</v>
      </c>
      <c r="H16" s="202">
        <f t="shared" si="3"/>
        <v>0</v>
      </c>
      <c r="I16" s="202">
        <f t="shared" si="3"/>
        <v>0</v>
      </c>
      <c r="J16" s="202">
        <f t="shared" si="3"/>
        <v>0</v>
      </c>
      <c r="K16" s="202">
        <f t="shared" si="3"/>
        <v>0</v>
      </c>
      <c r="L16" s="202">
        <f t="shared" si="3"/>
        <v>0</v>
      </c>
      <c r="M16" s="202">
        <f t="shared" si="3"/>
        <v>0</v>
      </c>
      <c r="N16" s="202">
        <f t="shared" si="3"/>
        <v>0</v>
      </c>
      <c r="O16" s="202">
        <f t="shared" si="3"/>
        <v>0</v>
      </c>
      <c r="P16" s="202">
        <f t="shared" si="3"/>
        <v>0</v>
      </c>
      <c r="Q16" s="202">
        <f t="shared" si="3"/>
        <v>0</v>
      </c>
      <c r="R16" s="202">
        <f t="shared" si="3"/>
        <v>0</v>
      </c>
      <c r="S16" s="202">
        <f t="shared" si="3"/>
        <v>0</v>
      </c>
    </row>
    <row r="18" spans="1:17" ht="15.75" x14ac:dyDescent="0.25">
      <c r="A18" s="75" t="s">
        <v>368</v>
      </c>
      <c r="O18" t="str">
        <f>"Total primary base year "&amp;targetType&amp;" (excluding ETS) from the ""Base year fuel types"" tab"</f>
        <v>Total primary base year  (excluding ETS) from the "Base year fuel types" tab</v>
      </c>
    </row>
    <row r="19" spans="1:17" x14ac:dyDescent="0.2">
      <c r="A19" t="str">
        <f>"Fixed "&amp;targetType</f>
        <v xml:space="preserve">Fixed </v>
      </c>
      <c r="B19" s="153" cm="1">
        <f t="array" ref="B19">INDEX(LINEST($Q$4:$Q$15,$B$4:$P$15),16)*12</f>
        <v>0</v>
      </c>
      <c r="C19" t="str">
        <f>reportingUnits&amp;" / year"</f>
        <v xml:space="preserve"> / year</v>
      </c>
      <c r="Q19" s="233">
        <f>primaryBaseYearEnergy</f>
        <v>0</v>
      </c>
    </row>
    <row r="20" spans="1:17" x14ac:dyDescent="0.2">
      <c r="A20" t="str">
        <f>targetType&amp;" intensity ("&amp;B3&amp;")"</f>
        <v xml:space="preserve"> intensity (Product 1)</v>
      </c>
      <c r="B20" s="153" cm="1">
        <f t="array" ref="B20">INDEX(LINEST($Q$4:$Q$15,$B$4:$P$15),15)</f>
        <v>0</v>
      </c>
      <c r="C20" t="str">
        <f t="shared" ref="C20:C34" si="4">reportingUnits&amp;" / throughput unit"</f>
        <v xml:space="preserve"> / throughput unit</v>
      </c>
    </row>
    <row r="21" spans="1:17" x14ac:dyDescent="0.2">
      <c r="A21" t="str">
        <f>targetType&amp;" intensity ("&amp;C3&amp;")"</f>
        <v xml:space="preserve"> intensity (Product 2)</v>
      </c>
      <c r="B21" s="153" cm="1">
        <f t="array" ref="B21">INDEX(LINEST($Q$4:$Q$15,$B$4:$P$15),14)</f>
        <v>0</v>
      </c>
      <c r="C21" t="str">
        <f t="shared" si="4"/>
        <v xml:space="preserve"> / throughput unit</v>
      </c>
    </row>
    <row r="22" spans="1:17" x14ac:dyDescent="0.2">
      <c r="A22" t="str">
        <f>targetType&amp;" intensity ("&amp;D3&amp;")"</f>
        <v xml:space="preserve"> intensity (Product 3)</v>
      </c>
      <c r="B22" s="153" cm="1">
        <f t="array" ref="B22">INDEX(LINEST($Q$4:$Q$15,$B$4:$P$15),13)</f>
        <v>0</v>
      </c>
      <c r="C22" t="str">
        <f t="shared" si="4"/>
        <v xml:space="preserve"> / throughput unit</v>
      </c>
    </row>
    <row r="23" spans="1:17" x14ac:dyDescent="0.2">
      <c r="A23" t="str">
        <f>targetType&amp;" intensity ("&amp;E3&amp;")"</f>
        <v xml:space="preserve"> intensity (Product 4)</v>
      </c>
      <c r="B23" s="153" cm="1">
        <f t="array" ref="B23">INDEX(LINEST($Q$4:$Q$15,$B$4:$P$15),12)</f>
        <v>0</v>
      </c>
      <c r="C23" t="str">
        <f t="shared" si="4"/>
        <v xml:space="preserve"> / throughput unit</v>
      </c>
    </row>
    <row r="24" spans="1:17" x14ac:dyDescent="0.2">
      <c r="A24" t="str">
        <f>targetType&amp;" intensity ("&amp;F3&amp;")"</f>
        <v xml:space="preserve"> intensity (Product 5)</v>
      </c>
      <c r="B24" s="153" cm="1">
        <f t="array" ref="B24">INDEX(LINEST($Q$4:$Q$15,$B$4:$P$15),11)</f>
        <v>0</v>
      </c>
      <c r="C24" t="str">
        <f t="shared" si="4"/>
        <v xml:space="preserve"> / throughput unit</v>
      </c>
    </row>
    <row r="25" spans="1:17" x14ac:dyDescent="0.2">
      <c r="A25" t="str">
        <f>targetType&amp;" intensity ("&amp;G3&amp;")"</f>
        <v xml:space="preserve"> intensity (Product 6)</v>
      </c>
      <c r="B25" s="153" cm="1">
        <f t="array" ref="B25">INDEX(LINEST($Q$4:$Q$15,$B$4:$P$15),10)</f>
        <v>0</v>
      </c>
      <c r="C25" t="str">
        <f t="shared" si="4"/>
        <v xml:space="preserve"> / throughput unit</v>
      </c>
    </row>
    <row r="26" spans="1:17" x14ac:dyDescent="0.2">
      <c r="A26" t="str">
        <f>targetType&amp;" intensity ("&amp;H3&amp;")"</f>
        <v xml:space="preserve"> intensity (Product 7)</v>
      </c>
      <c r="B26" s="153" cm="1">
        <f t="array" ref="B26">INDEX(LINEST($Q$4:$Q$15,$B$4:$P$15),9)</f>
        <v>0</v>
      </c>
      <c r="C26" t="str">
        <f t="shared" si="4"/>
        <v xml:space="preserve"> / throughput unit</v>
      </c>
    </row>
    <row r="27" spans="1:17" x14ac:dyDescent="0.2">
      <c r="A27" t="str">
        <f>targetType&amp;" intensity ("&amp;I3&amp;")"</f>
        <v xml:space="preserve"> intensity (Product 8)</v>
      </c>
      <c r="B27" s="153" cm="1">
        <f t="array" ref="B27">INDEX(LINEST($Q$4:$Q$15,$B$4:$P$15),8)</f>
        <v>0</v>
      </c>
      <c r="C27" t="str">
        <f t="shared" si="4"/>
        <v xml:space="preserve"> / throughput unit</v>
      </c>
    </row>
    <row r="28" spans="1:17" x14ac:dyDescent="0.2">
      <c r="A28" t="str">
        <f>targetType&amp;" intensity ("&amp;J3&amp;")"</f>
        <v xml:space="preserve"> intensity (Product 9)</v>
      </c>
      <c r="B28" s="153" cm="1">
        <f t="array" ref="B28">INDEX(LINEST($Q$4:$Q$15,$B$4:$P$15),7)</f>
        <v>0</v>
      </c>
      <c r="C28" t="str">
        <f t="shared" si="4"/>
        <v xml:space="preserve"> / throughput unit</v>
      </c>
    </row>
    <row r="29" spans="1:17" x14ac:dyDescent="0.2">
      <c r="A29" t="str">
        <f>targetType&amp;" intensity ("&amp;K3&amp;")"</f>
        <v xml:space="preserve"> intensity (Product 10)</v>
      </c>
      <c r="B29" s="153" cm="1">
        <f t="array" ref="B29">INDEX(LINEST($Q$4:$Q$15,$B$4:$P$15),6)</f>
        <v>0</v>
      </c>
      <c r="C29" t="str">
        <f t="shared" si="4"/>
        <v xml:space="preserve"> / throughput unit</v>
      </c>
    </row>
    <row r="30" spans="1:17" x14ac:dyDescent="0.2">
      <c r="A30" t="str">
        <f>targetType&amp;" intensity ("&amp;L3&amp;")"</f>
        <v xml:space="preserve"> intensity (Product 11)</v>
      </c>
      <c r="B30" s="153" cm="1">
        <f t="array" ref="B30">INDEX(LINEST($Q$4:$Q$15,$B$4:$P$15),5)</f>
        <v>0</v>
      </c>
      <c r="C30" t="str">
        <f t="shared" si="4"/>
        <v xml:space="preserve"> / throughput unit</v>
      </c>
    </row>
    <row r="31" spans="1:17" x14ac:dyDescent="0.2">
      <c r="A31" t="str">
        <f>targetType&amp;" intensity ("&amp;M3&amp;")"</f>
        <v xml:space="preserve"> intensity (Product 12)</v>
      </c>
      <c r="B31" s="153" cm="1">
        <f t="array" ref="B31">INDEX(LINEST($Q$4:$Q$15,$B$4:$P$15),4)</f>
        <v>0</v>
      </c>
      <c r="C31" t="str">
        <f t="shared" si="4"/>
        <v xml:space="preserve"> / throughput unit</v>
      </c>
    </row>
    <row r="32" spans="1:17" x14ac:dyDescent="0.2">
      <c r="A32" t="str">
        <f>targetType&amp;" intensity ("&amp;N3&amp;")"</f>
        <v xml:space="preserve"> intensity (Product 13)</v>
      </c>
      <c r="B32" s="153" cm="1">
        <f t="array" ref="B32">INDEX(LINEST($Q$4:$Q$15,$B$4:$P$15),3)</f>
        <v>0</v>
      </c>
      <c r="C32" t="str">
        <f t="shared" si="4"/>
        <v xml:space="preserve"> / throughput unit</v>
      </c>
    </row>
    <row r="33" spans="1:3" x14ac:dyDescent="0.2">
      <c r="A33" t="str">
        <f>targetType&amp;" intensity ("&amp;O3&amp;")"</f>
        <v xml:space="preserve"> intensity (Product 14)</v>
      </c>
      <c r="B33" s="153" cm="1">
        <f t="array" ref="B33">INDEX(LINEST($Q$4:$Q$15,$B$4:$P$15),2)</f>
        <v>0</v>
      </c>
      <c r="C33" t="str">
        <f t="shared" si="4"/>
        <v xml:space="preserve"> / throughput unit</v>
      </c>
    </row>
    <row r="34" spans="1:3" x14ac:dyDescent="0.2">
      <c r="A34" t="str">
        <f>targetType&amp;" intensity ("&amp;P3&amp;")"</f>
        <v xml:space="preserve"> intensity (Product 15)</v>
      </c>
      <c r="B34" s="153" cm="1">
        <f t="array" ref="B34">INDEX(LINEST($Q$4:$Q$15,$B$4:$P$15),1)</f>
        <v>0</v>
      </c>
      <c r="C34" t="str">
        <f t="shared" si="4"/>
        <v xml:space="preserve"> / throughput unit</v>
      </c>
    </row>
  </sheetData>
  <sheetProtection algorithmName="SHA-512" hashValue="fBxow1v45oIVXp3CLErIgzUwTZDzTemaTgBxnI5pqpXrIA+0aPnQtuvNwezI0yJPfkUvxjAG2cK2SXiKNlH1+A==" saltValue="tgSC960FTlqJBXEpDNtYIQ==" spinCount="100000" sheet="1" objects="1" scenarios="1"/>
  <phoneticPr fontId="46"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716AA-5B57-40EA-A726-B2AB8F41D53D}">
  <sheetPr codeName="Sheet11">
    <tabColor theme="4" tint="0.79998168889431442"/>
  </sheetPr>
  <dimension ref="A1:S74"/>
  <sheetViews>
    <sheetView workbookViewId="0">
      <pane xSplit="1" ySplit="3" topLeftCell="B4" activePane="bottomRight" state="frozen"/>
      <selection pane="topRight" activeCell="B1" sqref="B1"/>
      <selection pane="bottomLeft" activeCell="A4" sqref="A4"/>
      <selection pane="bottomRight" activeCell="A4" sqref="A4"/>
    </sheetView>
  </sheetViews>
  <sheetFormatPr defaultRowHeight="15" x14ac:dyDescent="0.2"/>
  <cols>
    <col min="1" max="1" width="25.6640625" customWidth="1"/>
    <col min="2" max="2" width="14.44140625" customWidth="1"/>
    <col min="3" max="16" width="10.77734375" customWidth="1"/>
    <col min="17" max="17" width="14.44140625" bestFit="1" customWidth="1"/>
    <col min="18" max="18" width="17.33203125" bestFit="1" customWidth="1"/>
    <col min="19" max="19" width="10.88671875" bestFit="1" customWidth="1"/>
  </cols>
  <sheetData>
    <row r="1" spans="1:19" ht="15.75" x14ac:dyDescent="0.25">
      <c r="A1" s="75" t="s">
        <v>208</v>
      </c>
    </row>
    <row r="2" spans="1:19" ht="4.5" customHeight="1" x14ac:dyDescent="0.25">
      <c r="A2" s="75"/>
    </row>
    <row r="3" spans="1:19" ht="31.5" x14ac:dyDescent="0.2">
      <c r="A3" s="158" t="s">
        <v>209</v>
      </c>
      <c r="B3" s="235" t="s">
        <v>369</v>
      </c>
      <c r="C3" s="235" t="s">
        <v>370</v>
      </c>
      <c r="D3" s="235" t="s">
        <v>371</v>
      </c>
      <c r="E3" s="235" t="s">
        <v>372</v>
      </c>
      <c r="F3" s="235" t="s">
        <v>373</v>
      </c>
      <c r="G3" s="235" t="s">
        <v>374</v>
      </c>
      <c r="H3" s="235" t="s">
        <v>375</v>
      </c>
      <c r="I3" s="235" t="s">
        <v>376</v>
      </c>
      <c r="J3" s="235" t="s">
        <v>377</v>
      </c>
      <c r="K3" s="235" t="s">
        <v>378</v>
      </c>
      <c r="L3" s="235" t="s">
        <v>379</v>
      </c>
      <c r="M3" s="235" t="s">
        <v>380</v>
      </c>
      <c r="N3" s="235" t="s">
        <v>381</v>
      </c>
      <c r="O3" s="235" t="s">
        <v>382</v>
      </c>
      <c r="P3" s="235" t="s">
        <v>383</v>
      </c>
      <c r="Q3" s="159" t="str">
        <f>"Actual "&amp;targetType&amp;" "&amp;reportingUnits&amp;" / week"</f>
        <v>Actual   / week</v>
      </c>
      <c r="R3" s="160" t="str">
        <f>"Predicted "&amp;targetType&amp;" "&amp;reportingUnits&amp;" / week"</f>
        <v>Predicted   / week</v>
      </c>
      <c r="S3" s="205" t="s">
        <v>205</v>
      </c>
    </row>
    <row r="4" spans="1:19" x14ac:dyDescent="0.2">
      <c r="A4" s="207" t="str">
        <f>IF(facilityBYStartDate="","",facilityBYStartDate)</f>
        <v/>
      </c>
      <c r="B4" s="187">
        <v>0</v>
      </c>
      <c r="C4" s="187">
        <v>0</v>
      </c>
      <c r="D4" s="187">
        <v>0</v>
      </c>
      <c r="E4" s="187">
        <v>0</v>
      </c>
      <c r="F4" s="187">
        <v>0</v>
      </c>
      <c r="G4" s="187">
        <v>0</v>
      </c>
      <c r="H4" s="187">
        <v>0</v>
      </c>
      <c r="I4" s="187">
        <v>0</v>
      </c>
      <c r="J4" s="187">
        <v>0</v>
      </c>
      <c r="K4" s="187">
        <v>0</v>
      </c>
      <c r="L4" s="187">
        <v>0</v>
      </c>
      <c r="M4" s="187">
        <v>0</v>
      </c>
      <c r="N4" s="187">
        <v>0</v>
      </c>
      <c r="O4" s="187">
        <v>0</v>
      </c>
      <c r="P4" s="187">
        <v>0</v>
      </c>
      <c r="Q4" s="187">
        <v>0</v>
      </c>
      <c r="R4" s="204">
        <f t="shared" ref="R4:R35" si="0">fixWkly/52+B4*varWklyProd1+C4*varWklyProd2+D4*varWklyProd3+E4*varWklyProd4+F4*varWklyProd5+G4*varWklyProd6+H4*varWklyProd7+I4*varWklyProd8+J4*varWklyProd9+K4*varWklyProd10+L4*varWklyProd11+M4*varWklyProd12+N4*varWklyProd13+O4*varWklyProd14+P4*varWklyProd15</f>
        <v>0</v>
      </c>
      <c r="S4" s="204">
        <f>IFERROR(R4-Q4,"")</f>
        <v>0</v>
      </c>
    </row>
    <row r="5" spans="1:19" x14ac:dyDescent="0.2">
      <c r="A5" s="207" t="str">
        <f t="shared" ref="A5:A55" si="1">IF(facilityBYStartDate="","",A4+7)</f>
        <v/>
      </c>
      <c r="B5" s="187">
        <v>0</v>
      </c>
      <c r="C5" s="187">
        <v>0</v>
      </c>
      <c r="D5" s="187">
        <v>0</v>
      </c>
      <c r="E5" s="187">
        <v>0</v>
      </c>
      <c r="F5" s="187">
        <v>0</v>
      </c>
      <c r="G5" s="187">
        <v>0</v>
      </c>
      <c r="H5" s="187">
        <v>0</v>
      </c>
      <c r="I5" s="187">
        <v>0</v>
      </c>
      <c r="J5" s="187">
        <v>0</v>
      </c>
      <c r="K5" s="187">
        <v>0</v>
      </c>
      <c r="L5" s="187">
        <v>0</v>
      </c>
      <c r="M5" s="187">
        <v>0</v>
      </c>
      <c r="N5" s="187">
        <v>0</v>
      </c>
      <c r="O5" s="187">
        <v>0</v>
      </c>
      <c r="P5" s="187">
        <v>0</v>
      </c>
      <c r="Q5" s="187">
        <v>0</v>
      </c>
      <c r="R5" s="204">
        <f t="shared" si="0"/>
        <v>0</v>
      </c>
      <c r="S5" s="204">
        <f t="shared" ref="S5:S55" si="2">IFERROR(R5-Q5,"")</f>
        <v>0</v>
      </c>
    </row>
    <row r="6" spans="1:19" x14ac:dyDescent="0.2">
      <c r="A6" s="207" t="str">
        <f t="shared" si="1"/>
        <v/>
      </c>
      <c r="B6" s="187">
        <v>0</v>
      </c>
      <c r="C6" s="187">
        <v>0</v>
      </c>
      <c r="D6" s="187">
        <v>0</v>
      </c>
      <c r="E6" s="187">
        <v>0</v>
      </c>
      <c r="F6" s="187">
        <v>0</v>
      </c>
      <c r="G6" s="187">
        <v>0</v>
      </c>
      <c r="H6" s="187">
        <v>0</v>
      </c>
      <c r="I6" s="187">
        <v>0</v>
      </c>
      <c r="J6" s="187">
        <v>0</v>
      </c>
      <c r="K6" s="187">
        <v>0</v>
      </c>
      <c r="L6" s="187">
        <v>0</v>
      </c>
      <c r="M6" s="187">
        <v>0</v>
      </c>
      <c r="N6" s="187">
        <v>0</v>
      </c>
      <c r="O6" s="187">
        <v>0</v>
      </c>
      <c r="P6" s="187">
        <v>0</v>
      </c>
      <c r="Q6" s="187">
        <v>0</v>
      </c>
      <c r="R6" s="204">
        <f t="shared" si="0"/>
        <v>0</v>
      </c>
      <c r="S6" s="204">
        <f t="shared" si="2"/>
        <v>0</v>
      </c>
    </row>
    <row r="7" spans="1:19" x14ac:dyDescent="0.2">
      <c r="A7" s="207" t="str">
        <f t="shared" si="1"/>
        <v/>
      </c>
      <c r="B7" s="187">
        <v>0</v>
      </c>
      <c r="C7" s="187">
        <v>0</v>
      </c>
      <c r="D7" s="187">
        <v>0</v>
      </c>
      <c r="E7" s="187">
        <v>0</v>
      </c>
      <c r="F7" s="187">
        <v>0</v>
      </c>
      <c r="G7" s="187">
        <v>0</v>
      </c>
      <c r="H7" s="187">
        <v>0</v>
      </c>
      <c r="I7" s="187">
        <v>0</v>
      </c>
      <c r="J7" s="187">
        <v>0</v>
      </c>
      <c r="K7" s="187">
        <v>0</v>
      </c>
      <c r="L7" s="187">
        <v>0</v>
      </c>
      <c r="M7" s="187">
        <v>0</v>
      </c>
      <c r="N7" s="187">
        <v>0</v>
      </c>
      <c r="O7" s="187">
        <v>0</v>
      </c>
      <c r="P7" s="187">
        <v>0</v>
      </c>
      <c r="Q7" s="187">
        <v>0</v>
      </c>
      <c r="R7" s="204">
        <f t="shared" si="0"/>
        <v>0</v>
      </c>
      <c r="S7" s="204">
        <f t="shared" si="2"/>
        <v>0</v>
      </c>
    </row>
    <row r="8" spans="1:19" x14ac:dyDescent="0.2">
      <c r="A8" s="207" t="str">
        <f t="shared" si="1"/>
        <v/>
      </c>
      <c r="B8" s="187">
        <v>0</v>
      </c>
      <c r="C8" s="187">
        <v>0</v>
      </c>
      <c r="D8" s="187">
        <v>0</v>
      </c>
      <c r="E8" s="187">
        <v>0</v>
      </c>
      <c r="F8" s="187">
        <v>0</v>
      </c>
      <c r="G8" s="187">
        <v>0</v>
      </c>
      <c r="H8" s="187">
        <v>0</v>
      </c>
      <c r="I8" s="187">
        <v>0</v>
      </c>
      <c r="J8" s="187">
        <v>0</v>
      </c>
      <c r="K8" s="187">
        <v>0</v>
      </c>
      <c r="L8" s="187">
        <v>0</v>
      </c>
      <c r="M8" s="187">
        <v>0</v>
      </c>
      <c r="N8" s="187">
        <v>0</v>
      </c>
      <c r="O8" s="187">
        <v>0</v>
      </c>
      <c r="P8" s="187">
        <v>0</v>
      </c>
      <c r="Q8" s="187">
        <v>0</v>
      </c>
      <c r="R8" s="204">
        <f t="shared" si="0"/>
        <v>0</v>
      </c>
      <c r="S8" s="204">
        <f t="shared" si="2"/>
        <v>0</v>
      </c>
    </row>
    <row r="9" spans="1:19" x14ac:dyDescent="0.2">
      <c r="A9" s="207" t="str">
        <f t="shared" si="1"/>
        <v/>
      </c>
      <c r="B9" s="187">
        <v>0</v>
      </c>
      <c r="C9" s="187">
        <v>0</v>
      </c>
      <c r="D9" s="187">
        <v>0</v>
      </c>
      <c r="E9" s="187">
        <v>0</v>
      </c>
      <c r="F9" s="187">
        <v>0</v>
      </c>
      <c r="G9" s="187">
        <v>0</v>
      </c>
      <c r="H9" s="187">
        <v>0</v>
      </c>
      <c r="I9" s="187">
        <v>0</v>
      </c>
      <c r="J9" s="187">
        <v>0</v>
      </c>
      <c r="K9" s="187">
        <v>0</v>
      </c>
      <c r="L9" s="187">
        <v>0</v>
      </c>
      <c r="M9" s="187">
        <v>0</v>
      </c>
      <c r="N9" s="187">
        <v>0</v>
      </c>
      <c r="O9" s="187">
        <v>0</v>
      </c>
      <c r="P9" s="187">
        <v>0</v>
      </c>
      <c r="Q9" s="187">
        <v>0</v>
      </c>
      <c r="R9" s="204">
        <f t="shared" si="0"/>
        <v>0</v>
      </c>
      <c r="S9" s="204">
        <f t="shared" si="2"/>
        <v>0</v>
      </c>
    </row>
    <row r="10" spans="1:19" x14ac:dyDescent="0.2">
      <c r="A10" s="207" t="str">
        <f t="shared" si="1"/>
        <v/>
      </c>
      <c r="B10" s="187">
        <v>0</v>
      </c>
      <c r="C10" s="187">
        <v>0</v>
      </c>
      <c r="D10" s="187">
        <v>0</v>
      </c>
      <c r="E10" s="187">
        <v>0</v>
      </c>
      <c r="F10" s="187">
        <v>0</v>
      </c>
      <c r="G10" s="187">
        <v>0</v>
      </c>
      <c r="H10" s="187">
        <v>0</v>
      </c>
      <c r="I10" s="187">
        <v>0</v>
      </c>
      <c r="J10" s="187">
        <v>0</v>
      </c>
      <c r="K10" s="187">
        <v>0</v>
      </c>
      <c r="L10" s="187">
        <v>0</v>
      </c>
      <c r="M10" s="187">
        <v>0</v>
      </c>
      <c r="N10" s="187">
        <v>0</v>
      </c>
      <c r="O10" s="187">
        <v>0</v>
      </c>
      <c r="P10" s="187">
        <v>0</v>
      </c>
      <c r="Q10" s="187">
        <v>0</v>
      </c>
      <c r="R10" s="204">
        <f t="shared" si="0"/>
        <v>0</v>
      </c>
      <c r="S10" s="204">
        <f t="shared" si="2"/>
        <v>0</v>
      </c>
    </row>
    <row r="11" spans="1:19" x14ac:dyDescent="0.2">
      <c r="A11" s="207" t="str">
        <f t="shared" si="1"/>
        <v/>
      </c>
      <c r="B11" s="187">
        <v>0</v>
      </c>
      <c r="C11" s="187">
        <v>0</v>
      </c>
      <c r="D11" s="187">
        <v>0</v>
      </c>
      <c r="E11" s="187">
        <v>0</v>
      </c>
      <c r="F11" s="187">
        <v>0</v>
      </c>
      <c r="G11" s="187">
        <v>0</v>
      </c>
      <c r="H11" s="187">
        <v>0</v>
      </c>
      <c r="I11" s="187">
        <v>0</v>
      </c>
      <c r="J11" s="187">
        <v>0</v>
      </c>
      <c r="K11" s="187">
        <v>0</v>
      </c>
      <c r="L11" s="187">
        <v>0</v>
      </c>
      <c r="M11" s="187">
        <v>0</v>
      </c>
      <c r="N11" s="187">
        <v>0</v>
      </c>
      <c r="O11" s="187">
        <v>0</v>
      </c>
      <c r="P11" s="187">
        <v>0</v>
      </c>
      <c r="Q11" s="187">
        <v>0</v>
      </c>
      <c r="R11" s="204">
        <f t="shared" si="0"/>
        <v>0</v>
      </c>
      <c r="S11" s="204">
        <f t="shared" si="2"/>
        <v>0</v>
      </c>
    </row>
    <row r="12" spans="1:19" x14ac:dyDescent="0.2">
      <c r="A12" s="207" t="str">
        <f t="shared" si="1"/>
        <v/>
      </c>
      <c r="B12" s="187">
        <v>0</v>
      </c>
      <c r="C12" s="187">
        <v>0</v>
      </c>
      <c r="D12" s="187">
        <v>0</v>
      </c>
      <c r="E12" s="187">
        <v>0</v>
      </c>
      <c r="F12" s="187">
        <v>0</v>
      </c>
      <c r="G12" s="187">
        <v>0</v>
      </c>
      <c r="H12" s="187">
        <v>0</v>
      </c>
      <c r="I12" s="187">
        <v>0</v>
      </c>
      <c r="J12" s="187">
        <v>0</v>
      </c>
      <c r="K12" s="187">
        <v>0</v>
      </c>
      <c r="L12" s="187">
        <v>0</v>
      </c>
      <c r="M12" s="187">
        <v>0</v>
      </c>
      <c r="N12" s="187">
        <v>0</v>
      </c>
      <c r="O12" s="187">
        <v>0</v>
      </c>
      <c r="P12" s="187">
        <v>0</v>
      </c>
      <c r="Q12" s="187">
        <v>0</v>
      </c>
      <c r="R12" s="204">
        <f t="shared" si="0"/>
        <v>0</v>
      </c>
      <c r="S12" s="204">
        <f t="shared" si="2"/>
        <v>0</v>
      </c>
    </row>
    <row r="13" spans="1:19" x14ac:dyDescent="0.2">
      <c r="A13" s="207" t="str">
        <f t="shared" si="1"/>
        <v/>
      </c>
      <c r="B13" s="187">
        <v>0</v>
      </c>
      <c r="C13" s="187">
        <v>0</v>
      </c>
      <c r="D13" s="187">
        <v>0</v>
      </c>
      <c r="E13" s="187">
        <v>0</v>
      </c>
      <c r="F13" s="187">
        <v>0</v>
      </c>
      <c r="G13" s="187">
        <v>0</v>
      </c>
      <c r="H13" s="187">
        <v>0</v>
      </c>
      <c r="I13" s="187">
        <v>0</v>
      </c>
      <c r="J13" s="187">
        <v>0</v>
      </c>
      <c r="K13" s="187">
        <v>0</v>
      </c>
      <c r="L13" s="187">
        <v>0</v>
      </c>
      <c r="M13" s="187">
        <v>0</v>
      </c>
      <c r="N13" s="187">
        <v>0</v>
      </c>
      <c r="O13" s="187">
        <v>0</v>
      </c>
      <c r="P13" s="187">
        <v>0</v>
      </c>
      <c r="Q13" s="187">
        <v>0</v>
      </c>
      <c r="R13" s="204">
        <f t="shared" si="0"/>
        <v>0</v>
      </c>
      <c r="S13" s="204">
        <f t="shared" si="2"/>
        <v>0</v>
      </c>
    </row>
    <row r="14" spans="1:19" x14ac:dyDescent="0.2">
      <c r="A14" s="207" t="str">
        <f t="shared" si="1"/>
        <v/>
      </c>
      <c r="B14" s="187">
        <v>0</v>
      </c>
      <c r="C14" s="187">
        <v>0</v>
      </c>
      <c r="D14" s="187">
        <v>0</v>
      </c>
      <c r="E14" s="187">
        <v>0</v>
      </c>
      <c r="F14" s="187">
        <v>0</v>
      </c>
      <c r="G14" s="187">
        <v>0</v>
      </c>
      <c r="H14" s="187">
        <v>0</v>
      </c>
      <c r="I14" s="187">
        <v>0</v>
      </c>
      <c r="J14" s="187">
        <v>0</v>
      </c>
      <c r="K14" s="187">
        <v>0</v>
      </c>
      <c r="L14" s="187">
        <v>0</v>
      </c>
      <c r="M14" s="187">
        <v>0</v>
      </c>
      <c r="N14" s="187">
        <v>0</v>
      </c>
      <c r="O14" s="187">
        <v>0</v>
      </c>
      <c r="P14" s="187">
        <v>0</v>
      </c>
      <c r="Q14" s="187">
        <v>0</v>
      </c>
      <c r="R14" s="204">
        <f t="shared" si="0"/>
        <v>0</v>
      </c>
      <c r="S14" s="204">
        <f t="shared" si="2"/>
        <v>0</v>
      </c>
    </row>
    <row r="15" spans="1:19" x14ac:dyDescent="0.2">
      <c r="A15" s="207" t="str">
        <f t="shared" si="1"/>
        <v/>
      </c>
      <c r="B15" s="187">
        <v>0</v>
      </c>
      <c r="C15" s="187">
        <v>0</v>
      </c>
      <c r="D15" s="187">
        <v>0</v>
      </c>
      <c r="E15" s="187">
        <v>0</v>
      </c>
      <c r="F15" s="187">
        <v>0</v>
      </c>
      <c r="G15" s="187">
        <v>0</v>
      </c>
      <c r="H15" s="187">
        <v>0</v>
      </c>
      <c r="I15" s="187">
        <v>0</v>
      </c>
      <c r="J15" s="187">
        <v>0</v>
      </c>
      <c r="K15" s="187">
        <v>0</v>
      </c>
      <c r="L15" s="187">
        <v>0</v>
      </c>
      <c r="M15" s="187">
        <v>0</v>
      </c>
      <c r="N15" s="187">
        <v>0</v>
      </c>
      <c r="O15" s="187">
        <v>0</v>
      </c>
      <c r="P15" s="187">
        <v>0</v>
      </c>
      <c r="Q15" s="187">
        <v>0</v>
      </c>
      <c r="R15" s="204">
        <f t="shared" si="0"/>
        <v>0</v>
      </c>
      <c r="S15" s="204">
        <f t="shared" si="2"/>
        <v>0</v>
      </c>
    </row>
    <row r="16" spans="1:19" x14ac:dyDescent="0.2">
      <c r="A16" s="207" t="str">
        <f t="shared" si="1"/>
        <v/>
      </c>
      <c r="B16" s="187">
        <v>0</v>
      </c>
      <c r="C16" s="187">
        <v>0</v>
      </c>
      <c r="D16" s="187">
        <v>0</v>
      </c>
      <c r="E16" s="187">
        <v>0</v>
      </c>
      <c r="F16" s="187">
        <v>0</v>
      </c>
      <c r="G16" s="187">
        <v>0</v>
      </c>
      <c r="H16" s="187">
        <v>0</v>
      </c>
      <c r="I16" s="187">
        <v>0</v>
      </c>
      <c r="J16" s="187">
        <v>0</v>
      </c>
      <c r="K16" s="187">
        <v>0</v>
      </c>
      <c r="L16" s="187">
        <v>0</v>
      </c>
      <c r="M16" s="187">
        <v>0</v>
      </c>
      <c r="N16" s="187">
        <v>0</v>
      </c>
      <c r="O16" s="187">
        <v>0</v>
      </c>
      <c r="P16" s="187">
        <v>0</v>
      </c>
      <c r="Q16" s="187">
        <v>0</v>
      </c>
      <c r="R16" s="204">
        <f t="shared" si="0"/>
        <v>0</v>
      </c>
      <c r="S16" s="204">
        <f t="shared" si="2"/>
        <v>0</v>
      </c>
    </row>
    <row r="17" spans="1:19" x14ac:dyDescent="0.2">
      <c r="A17" s="207" t="str">
        <f t="shared" si="1"/>
        <v/>
      </c>
      <c r="B17" s="187">
        <v>0</v>
      </c>
      <c r="C17" s="187">
        <v>0</v>
      </c>
      <c r="D17" s="187">
        <v>0</v>
      </c>
      <c r="E17" s="187">
        <v>0</v>
      </c>
      <c r="F17" s="187">
        <v>0</v>
      </c>
      <c r="G17" s="187">
        <v>0</v>
      </c>
      <c r="H17" s="187">
        <v>0</v>
      </c>
      <c r="I17" s="187">
        <v>0</v>
      </c>
      <c r="J17" s="187">
        <v>0</v>
      </c>
      <c r="K17" s="187">
        <v>0</v>
      </c>
      <c r="L17" s="187">
        <v>0</v>
      </c>
      <c r="M17" s="187">
        <v>0</v>
      </c>
      <c r="N17" s="187">
        <v>0</v>
      </c>
      <c r="O17" s="187">
        <v>0</v>
      </c>
      <c r="P17" s="187">
        <v>0</v>
      </c>
      <c r="Q17" s="187">
        <v>0</v>
      </c>
      <c r="R17" s="204">
        <f t="shared" si="0"/>
        <v>0</v>
      </c>
      <c r="S17" s="204">
        <f t="shared" si="2"/>
        <v>0</v>
      </c>
    </row>
    <row r="18" spans="1:19" x14ac:dyDescent="0.2">
      <c r="A18" s="207" t="str">
        <f t="shared" si="1"/>
        <v/>
      </c>
      <c r="B18" s="187">
        <v>0</v>
      </c>
      <c r="C18" s="187">
        <v>0</v>
      </c>
      <c r="D18" s="187">
        <v>0</v>
      </c>
      <c r="E18" s="187">
        <v>0</v>
      </c>
      <c r="F18" s="187">
        <v>0</v>
      </c>
      <c r="G18" s="187">
        <v>0</v>
      </c>
      <c r="H18" s="187">
        <v>0</v>
      </c>
      <c r="I18" s="187">
        <v>0</v>
      </c>
      <c r="J18" s="187">
        <v>0</v>
      </c>
      <c r="K18" s="187">
        <v>0</v>
      </c>
      <c r="L18" s="187">
        <v>0</v>
      </c>
      <c r="M18" s="187">
        <v>0</v>
      </c>
      <c r="N18" s="187">
        <v>0</v>
      </c>
      <c r="O18" s="187">
        <v>0</v>
      </c>
      <c r="P18" s="187">
        <v>0</v>
      </c>
      <c r="Q18" s="187">
        <v>0</v>
      </c>
      <c r="R18" s="204">
        <f t="shared" si="0"/>
        <v>0</v>
      </c>
      <c r="S18" s="204">
        <f t="shared" si="2"/>
        <v>0</v>
      </c>
    </row>
    <row r="19" spans="1:19" x14ac:dyDescent="0.2">
      <c r="A19" s="207" t="str">
        <f t="shared" si="1"/>
        <v/>
      </c>
      <c r="B19" s="187">
        <v>0</v>
      </c>
      <c r="C19" s="187">
        <v>0</v>
      </c>
      <c r="D19" s="187">
        <v>0</v>
      </c>
      <c r="E19" s="187">
        <v>0</v>
      </c>
      <c r="F19" s="187">
        <v>0</v>
      </c>
      <c r="G19" s="187">
        <v>0</v>
      </c>
      <c r="H19" s="187">
        <v>0</v>
      </c>
      <c r="I19" s="187">
        <v>0</v>
      </c>
      <c r="J19" s="187">
        <v>0</v>
      </c>
      <c r="K19" s="187">
        <v>0</v>
      </c>
      <c r="L19" s="187">
        <v>0</v>
      </c>
      <c r="M19" s="187">
        <v>0</v>
      </c>
      <c r="N19" s="187">
        <v>0</v>
      </c>
      <c r="O19" s="187">
        <v>0</v>
      </c>
      <c r="P19" s="187">
        <v>0</v>
      </c>
      <c r="Q19" s="187">
        <v>0</v>
      </c>
      <c r="R19" s="204">
        <f t="shared" si="0"/>
        <v>0</v>
      </c>
      <c r="S19" s="204">
        <f t="shared" si="2"/>
        <v>0</v>
      </c>
    </row>
    <row r="20" spans="1:19" x14ac:dyDescent="0.2">
      <c r="A20" s="207" t="str">
        <f t="shared" si="1"/>
        <v/>
      </c>
      <c r="B20" s="187">
        <v>0</v>
      </c>
      <c r="C20" s="187">
        <v>0</v>
      </c>
      <c r="D20" s="187">
        <v>0</v>
      </c>
      <c r="E20" s="187">
        <v>0</v>
      </c>
      <c r="F20" s="187">
        <v>0</v>
      </c>
      <c r="G20" s="187">
        <v>0</v>
      </c>
      <c r="H20" s="187">
        <v>0</v>
      </c>
      <c r="I20" s="187">
        <v>0</v>
      </c>
      <c r="J20" s="187">
        <v>0</v>
      </c>
      <c r="K20" s="187">
        <v>0</v>
      </c>
      <c r="L20" s="187">
        <v>0</v>
      </c>
      <c r="M20" s="187">
        <v>0</v>
      </c>
      <c r="N20" s="187">
        <v>0</v>
      </c>
      <c r="O20" s="187">
        <v>0</v>
      </c>
      <c r="P20" s="187">
        <v>0</v>
      </c>
      <c r="Q20" s="187">
        <v>0</v>
      </c>
      <c r="R20" s="204">
        <f t="shared" si="0"/>
        <v>0</v>
      </c>
      <c r="S20" s="204">
        <f t="shared" si="2"/>
        <v>0</v>
      </c>
    </row>
    <row r="21" spans="1:19" x14ac:dyDescent="0.2">
      <c r="A21" s="207" t="str">
        <f t="shared" si="1"/>
        <v/>
      </c>
      <c r="B21" s="187">
        <v>0</v>
      </c>
      <c r="C21" s="187">
        <v>0</v>
      </c>
      <c r="D21" s="187">
        <v>0</v>
      </c>
      <c r="E21" s="187">
        <v>0</v>
      </c>
      <c r="F21" s="187">
        <v>0</v>
      </c>
      <c r="G21" s="187">
        <v>0</v>
      </c>
      <c r="H21" s="187">
        <v>0</v>
      </c>
      <c r="I21" s="187">
        <v>0</v>
      </c>
      <c r="J21" s="187">
        <v>0</v>
      </c>
      <c r="K21" s="187">
        <v>0</v>
      </c>
      <c r="L21" s="187">
        <v>0</v>
      </c>
      <c r="M21" s="187">
        <v>0</v>
      </c>
      <c r="N21" s="187">
        <v>0</v>
      </c>
      <c r="O21" s="187">
        <v>0</v>
      </c>
      <c r="P21" s="187">
        <v>0</v>
      </c>
      <c r="Q21" s="187">
        <v>0</v>
      </c>
      <c r="R21" s="204">
        <f t="shared" si="0"/>
        <v>0</v>
      </c>
      <c r="S21" s="204">
        <f t="shared" si="2"/>
        <v>0</v>
      </c>
    </row>
    <row r="22" spans="1:19" x14ac:dyDescent="0.2">
      <c r="A22" s="207" t="str">
        <f t="shared" si="1"/>
        <v/>
      </c>
      <c r="B22" s="187">
        <v>0</v>
      </c>
      <c r="C22" s="187">
        <v>0</v>
      </c>
      <c r="D22" s="187">
        <v>0</v>
      </c>
      <c r="E22" s="187">
        <v>0</v>
      </c>
      <c r="F22" s="187">
        <v>0</v>
      </c>
      <c r="G22" s="187">
        <v>0</v>
      </c>
      <c r="H22" s="187">
        <v>0</v>
      </c>
      <c r="I22" s="187">
        <v>0</v>
      </c>
      <c r="J22" s="187">
        <v>0</v>
      </c>
      <c r="K22" s="187">
        <v>0</v>
      </c>
      <c r="L22" s="187">
        <v>0</v>
      </c>
      <c r="M22" s="187">
        <v>0</v>
      </c>
      <c r="N22" s="187">
        <v>0</v>
      </c>
      <c r="O22" s="187">
        <v>0</v>
      </c>
      <c r="P22" s="187">
        <v>0</v>
      </c>
      <c r="Q22" s="187">
        <v>0</v>
      </c>
      <c r="R22" s="204">
        <f t="shared" si="0"/>
        <v>0</v>
      </c>
      <c r="S22" s="204">
        <f t="shared" si="2"/>
        <v>0</v>
      </c>
    </row>
    <row r="23" spans="1:19" x14ac:dyDescent="0.2">
      <c r="A23" s="207" t="str">
        <f t="shared" si="1"/>
        <v/>
      </c>
      <c r="B23" s="187">
        <v>0</v>
      </c>
      <c r="C23" s="187">
        <v>0</v>
      </c>
      <c r="D23" s="187">
        <v>0</v>
      </c>
      <c r="E23" s="187">
        <v>0</v>
      </c>
      <c r="F23" s="187">
        <v>0</v>
      </c>
      <c r="G23" s="187">
        <v>0</v>
      </c>
      <c r="H23" s="187">
        <v>0</v>
      </c>
      <c r="I23" s="187">
        <v>0</v>
      </c>
      <c r="J23" s="187">
        <v>0</v>
      </c>
      <c r="K23" s="187">
        <v>0</v>
      </c>
      <c r="L23" s="187">
        <v>0</v>
      </c>
      <c r="M23" s="187">
        <v>0</v>
      </c>
      <c r="N23" s="187">
        <v>0</v>
      </c>
      <c r="O23" s="187">
        <v>0</v>
      </c>
      <c r="P23" s="187">
        <v>0</v>
      </c>
      <c r="Q23" s="187">
        <v>0</v>
      </c>
      <c r="R23" s="204">
        <f t="shared" si="0"/>
        <v>0</v>
      </c>
      <c r="S23" s="204">
        <f t="shared" si="2"/>
        <v>0</v>
      </c>
    </row>
    <row r="24" spans="1:19" x14ac:dyDescent="0.2">
      <c r="A24" s="207" t="str">
        <f t="shared" si="1"/>
        <v/>
      </c>
      <c r="B24" s="187">
        <v>0</v>
      </c>
      <c r="C24" s="187">
        <v>0</v>
      </c>
      <c r="D24" s="187">
        <v>0</v>
      </c>
      <c r="E24" s="187">
        <v>0</v>
      </c>
      <c r="F24" s="187">
        <v>0</v>
      </c>
      <c r="G24" s="187">
        <v>0</v>
      </c>
      <c r="H24" s="187">
        <v>0</v>
      </c>
      <c r="I24" s="187">
        <v>0</v>
      </c>
      <c r="J24" s="187">
        <v>0</v>
      </c>
      <c r="K24" s="187">
        <v>0</v>
      </c>
      <c r="L24" s="187">
        <v>0</v>
      </c>
      <c r="M24" s="187">
        <v>0</v>
      </c>
      <c r="N24" s="187">
        <v>0</v>
      </c>
      <c r="O24" s="187">
        <v>0</v>
      </c>
      <c r="P24" s="187">
        <v>0</v>
      </c>
      <c r="Q24" s="187">
        <v>0</v>
      </c>
      <c r="R24" s="204">
        <f t="shared" si="0"/>
        <v>0</v>
      </c>
      <c r="S24" s="204">
        <f t="shared" si="2"/>
        <v>0</v>
      </c>
    </row>
    <row r="25" spans="1:19" x14ac:dyDescent="0.2">
      <c r="A25" s="207" t="str">
        <f t="shared" si="1"/>
        <v/>
      </c>
      <c r="B25" s="187">
        <v>0</v>
      </c>
      <c r="C25" s="187">
        <v>0</v>
      </c>
      <c r="D25" s="187">
        <v>0</v>
      </c>
      <c r="E25" s="187">
        <v>0</v>
      </c>
      <c r="F25" s="187">
        <v>0</v>
      </c>
      <c r="G25" s="187">
        <v>0</v>
      </c>
      <c r="H25" s="187">
        <v>0</v>
      </c>
      <c r="I25" s="187">
        <v>0</v>
      </c>
      <c r="J25" s="187">
        <v>0</v>
      </c>
      <c r="K25" s="187">
        <v>0</v>
      </c>
      <c r="L25" s="187">
        <v>0</v>
      </c>
      <c r="M25" s="187">
        <v>0</v>
      </c>
      <c r="N25" s="187">
        <v>0</v>
      </c>
      <c r="O25" s="187">
        <v>0</v>
      </c>
      <c r="P25" s="187">
        <v>0</v>
      </c>
      <c r="Q25" s="187">
        <v>0</v>
      </c>
      <c r="R25" s="204">
        <f t="shared" si="0"/>
        <v>0</v>
      </c>
      <c r="S25" s="204">
        <f t="shared" si="2"/>
        <v>0</v>
      </c>
    </row>
    <row r="26" spans="1:19" x14ac:dyDescent="0.2">
      <c r="A26" s="207" t="str">
        <f t="shared" si="1"/>
        <v/>
      </c>
      <c r="B26" s="187">
        <v>0</v>
      </c>
      <c r="C26" s="187">
        <v>0</v>
      </c>
      <c r="D26" s="187">
        <v>0</v>
      </c>
      <c r="E26" s="187">
        <v>0</v>
      </c>
      <c r="F26" s="187">
        <v>0</v>
      </c>
      <c r="G26" s="187">
        <v>0</v>
      </c>
      <c r="H26" s="187">
        <v>0</v>
      </c>
      <c r="I26" s="187">
        <v>0</v>
      </c>
      <c r="J26" s="187">
        <v>0</v>
      </c>
      <c r="K26" s="187">
        <v>0</v>
      </c>
      <c r="L26" s="187">
        <v>0</v>
      </c>
      <c r="M26" s="187">
        <v>0</v>
      </c>
      <c r="N26" s="187">
        <v>0</v>
      </c>
      <c r="O26" s="187">
        <v>0</v>
      </c>
      <c r="P26" s="187">
        <v>0</v>
      </c>
      <c r="Q26" s="187">
        <v>0</v>
      </c>
      <c r="R26" s="204">
        <f t="shared" si="0"/>
        <v>0</v>
      </c>
      <c r="S26" s="204">
        <f t="shared" si="2"/>
        <v>0</v>
      </c>
    </row>
    <row r="27" spans="1:19" x14ac:dyDescent="0.2">
      <c r="A27" s="207" t="str">
        <f t="shared" si="1"/>
        <v/>
      </c>
      <c r="B27" s="187">
        <v>0</v>
      </c>
      <c r="C27" s="187">
        <v>0</v>
      </c>
      <c r="D27" s="187">
        <v>0</v>
      </c>
      <c r="E27" s="187">
        <v>0</v>
      </c>
      <c r="F27" s="187">
        <v>0</v>
      </c>
      <c r="G27" s="187">
        <v>0</v>
      </c>
      <c r="H27" s="187">
        <v>0</v>
      </c>
      <c r="I27" s="187">
        <v>0</v>
      </c>
      <c r="J27" s="187">
        <v>0</v>
      </c>
      <c r="K27" s="187">
        <v>0</v>
      </c>
      <c r="L27" s="187">
        <v>0</v>
      </c>
      <c r="M27" s="187">
        <v>0</v>
      </c>
      <c r="N27" s="187">
        <v>0</v>
      </c>
      <c r="O27" s="187">
        <v>0</v>
      </c>
      <c r="P27" s="187">
        <v>0</v>
      </c>
      <c r="Q27" s="187">
        <v>0</v>
      </c>
      <c r="R27" s="204">
        <f t="shared" si="0"/>
        <v>0</v>
      </c>
      <c r="S27" s="204">
        <f t="shared" si="2"/>
        <v>0</v>
      </c>
    </row>
    <row r="28" spans="1:19" x14ac:dyDescent="0.2">
      <c r="A28" s="207" t="str">
        <f t="shared" si="1"/>
        <v/>
      </c>
      <c r="B28" s="187">
        <v>0</v>
      </c>
      <c r="C28" s="187">
        <v>0</v>
      </c>
      <c r="D28" s="187">
        <v>0</v>
      </c>
      <c r="E28" s="187">
        <v>0</v>
      </c>
      <c r="F28" s="187">
        <v>0</v>
      </c>
      <c r="G28" s="187">
        <v>0</v>
      </c>
      <c r="H28" s="187">
        <v>0</v>
      </c>
      <c r="I28" s="187">
        <v>0</v>
      </c>
      <c r="J28" s="187">
        <v>0</v>
      </c>
      <c r="K28" s="187">
        <v>0</v>
      </c>
      <c r="L28" s="187">
        <v>0</v>
      </c>
      <c r="M28" s="187">
        <v>0</v>
      </c>
      <c r="N28" s="187">
        <v>0</v>
      </c>
      <c r="O28" s="187">
        <v>0</v>
      </c>
      <c r="P28" s="187">
        <v>0</v>
      </c>
      <c r="Q28" s="187">
        <v>0</v>
      </c>
      <c r="R28" s="204">
        <f t="shared" si="0"/>
        <v>0</v>
      </c>
      <c r="S28" s="204">
        <f t="shared" si="2"/>
        <v>0</v>
      </c>
    </row>
    <row r="29" spans="1:19" x14ac:dyDescent="0.2">
      <c r="A29" s="207" t="str">
        <f t="shared" si="1"/>
        <v/>
      </c>
      <c r="B29" s="187">
        <v>0</v>
      </c>
      <c r="C29" s="187">
        <v>0</v>
      </c>
      <c r="D29" s="187">
        <v>0</v>
      </c>
      <c r="E29" s="187">
        <v>0</v>
      </c>
      <c r="F29" s="187">
        <v>0</v>
      </c>
      <c r="G29" s="187">
        <v>0</v>
      </c>
      <c r="H29" s="187">
        <v>0</v>
      </c>
      <c r="I29" s="187">
        <v>0</v>
      </c>
      <c r="J29" s="187">
        <v>0</v>
      </c>
      <c r="K29" s="187">
        <v>0</v>
      </c>
      <c r="L29" s="187">
        <v>0</v>
      </c>
      <c r="M29" s="187">
        <v>0</v>
      </c>
      <c r="N29" s="187">
        <v>0</v>
      </c>
      <c r="O29" s="187">
        <v>0</v>
      </c>
      <c r="P29" s="187">
        <v>0</v>
      </c>
      <c r="Q29" s="187">
        <v>0</v>
      </c>
      <c r="R29" s="204">
        <f t="shared" si="0"/>
        <v>0</v>
      </c>
      <c r="S29" s="204">
        <f t="shared" si="2"/>
        <v>0</v>
      </c>
    </row>
    <row r="30" spans="1:19" x14ac:dyDescent="0.2">
      <c r="A30" s="207" t="str">
        <f t="shared" si="1"/>
        <v/>
      </c>
      <c r="B30" s="187">
        <v>0</v>
      </c>
      <c r="C30" s="187">
        <v>0</v>
      </c>
      <c r="D30" s="187">
        <v>0</v>
      </c>
      <c r="E30" s="187">
        <v>0</v>
      </c>
      <c r="F30" s="187">
        <v>0</v>
      </c>
      <c r="G30" s="187">
        <v>0</v>
      </c>
      <c r="H30" s="187">
        <v>0</v>
      </c>
      <c r="I30" s="187">
        <v>0</v>
      </c>
      <c r="J30" s="187">
        <v>0</v>
      </c>
      <c r="K30" s="187">
        <v>0</v>
      </c>
      <c r="L30" s="187">
        <v>0</v>
      </c>
      <c r="M30" s="187">
        <v>0</v>
      </c>
      <c r="N30" s="187">
        <v>0</v>
      </c>
      <c r="O30" s="187">
        <v>0</v>
      </c>
      <c r="P30" s="187">
        <v>0</v>
      </c>
      <c r="Q30" s="187">
        <v>0</v>
      </c>
      <c r="R30" s="204">
        <f t="shared" si="0"/>
        <v>0</v>
      </c>
      <c r="S30" s="204">
        <f t="shared" si="2"/>
        <v>0</v>
      </c>
    </row>
    <row r="31" spans="1:19" x14ac:dyDescent="0.2">
      <c r="A31" s="207" t="str">
        <f t="shared" si="1"/>
        <v/>
      </c>
      <c r="B31" s="187">
        <v>0</v>
      </c>
      <c r="C31" s="187">
        <v>0</v>
      </c>
      <c r="D31" s="187">
        <v>0</v>
      </c>
      <c r="E31" s="187">
        <v>0</v>
      </c>
      <c r="F31" s="187">
        <v>0</v>
      </c>
      <c r="G31" s="187">
        <v>0</v>
      </c>
      <c r="H31" s="187">
        <v>0</v>
      </c>
      <c r="I31" s="187">
        <v>0</v>
      </c>
      <c r="J31" s="187">
        <v>0</v>
      </c>
      <c r="K31" s="187">
        <v>0</v>
      </c>
      <c r="L31" s="187">
        <v>0</v>
      </c>
      <c r="M31" s="187">
        <v>0</v>
      </c>
      <c r="N31" s="187">
        <v>0</v>
      </c>
      <c r="O31" s="187">
        <v>0</v>
      </c>
      <c r="P31" s="187">
        <v>0</v>
      </c>
      <c r="Q31" s="187">
        <v>0</v>
      </c>
      <c r="R31" s="204">
        <f t="shared" si="0"/>
        <v>0</v>
      </c>
      <c r="S31" s="204">
        <f t="shared" si="2"/>
        <v>0</v>
      </c>
    </row>
    <row r="32" spans="1:19" x14ac:dyDescent="0.2">
      <c r="A32" s="207" t="str">
        <f t="shared" si="1"/>
        <v/>
      </c>
      <c r="B32" s="187">
        <v>0</v>
      </c>
      <c r="C32" s="187">
        <v>0</v>
      </c>
      <c r="D32" s="187">
        <v>0</v>
      </c>
      <c r="E32" s="187">
        <v>0</v>
      </c>
      <c r="F32" s="187">
        <v>0</v>
      </c>
      <c r="G32" s="187">
        <v>0</v>
      </c>
      <c r="H32" s="187">
        <v>0</v>
      </c>
      <c r="I32" s="187">
        <v>0</v>
      </c>
      <c r="J32" s="187">
        <v>0</v>
      </c>
      <c r="K32" s="187">
        <v>0</v>
      </c>
      <c r="L32" s="187">
        <v>0</v>
      </c>
      <c r="M32" s="187">
        <v>0</v>
      </c>
      <c r="N32" s="187">
        <v>0</v>
      </c>
      <c r="O32" s="187">
        <v>0</v>
      </c>
      <c r="P32" s="187">
        <v>0</v>
      </c>
      <c r="Q32" s="187">
        <v>0</v>
      </c>
      <c r="R32" s="204">
        <f t="shared" si="0"/>
        <v>0</v>
      </c>
      <c r="S32" s="204">
        <f t="shared" si="2"/>
        <v>0</v>
      </c>
    </row>
    <row r="33" spans="1:19" x14ac:dyDescent="0.2">
      <c r="A33" s="207" t="str">
        <f t="shared" si="1"/>
        <v/>
      </c>
      <c r="B33" s="187">
        <v>0</v>
      </c>
      <c r="C33" s="187">
        <v>0</v>
      </c>
      <c r="D33" s="187">
        <v>0</v>
      </c>
      <c r="E33" s="187">
        <v>0</v>
      </c>
      <c r="F33" s="187">
        <v>0</v>
      </c>
      <c r="G33" s="187">
        <v>0</v>
      </c>
      <c r="H33" s="187">
        <v>0</v>
      </c>
      <c r="I33" s="187">
        <v>0</v>
      </c>
      <c r="J33" s="187">
        <v>0</v>
      </c>
      <c r="K33" s="187">
        <v>0</v>
      </c>
      <c r="L33" s="187">
        <v>0</v>
      </c>
      <c r="M33" s="187">
        <v>0</v>
      </c>
      <c r="N33" s="187">
        <v>0</v>
      </c>
      <c r="O33" s="187">
        <v>0</v>
      </c>
      <c r="P33" s="187">
        <v>0</v>
      </c>
      <c r="Q33" s="187">
        <v>0</v>
      </c>
      <c r="R33" s="204">
        <f t="shared" si="0"/>
        <v>0</v>
      </c>
      <c r="S33" s="204">
        <f t="shared" si="2"/>
        <v>0</v>
      </c>
    </row>
    <row r="34" spans="1:19" x14ac:dyDescent="0.2">
      <c r="A34" s="207" t="str">
        <f t="shared" si="1"/>
        <v/>
      </c>
      <c r="B34" s="187">
        <v>0</v>
      </c>
      <c r="C34" s="187">
        <v>0</v>
      </c>
      <c r="D34" s="187">
        <v>0</v>
      </c>
      <c r="E34" s="187">
        <v>0</v>
      </c>
      <c r="F34" s="187">
        <v>0</v>
      </c>
      <c r="G34" s="187">
        <v>0</v>
      </c>
      <c r="H34" s="187">
        <v>0</v>
      </c>
      <c r="I34" s="187">
        <v>0</v>
      </c>
      <c r="J34" s="187">
        <v>0</v>
      </c>
      <c r="K34" s="187">
        <v>0</v>
      </c>
      <c r="L34" s="187">
        <v>0</v>
      </c>
      <c r="M34" s="187">
        <v>0</v>
      </c>
      <c r="N34" s="187">
        <v>0</v>
      </c>
      <c r="O34" s="187">
        <v>0</v>
      </c>
      <c r="P34" s="187">
        <v>0</v>
      </c>
      <c r="Q34" s="187">
        <v>0</v>
      </c>
      <c r="R34" s="204">
        <f t="shared" si="0"/>
        <v>0</v>
      </c>
      <c r="S34" s="204">
        <f t="shared" si="2"/>
        <v>0</v>
      </c>
    </row>
    <row r="35" spans="1:19" x14ac:dyDescent="0.2">
      <c r="A35" s="207" t="str">
        <f t="shared" si="1"/>
        <v/>
      </c>
      <c r="B35" s="187">
        <v>0</v>
      </c>
      <c r="C35" s="187">
        <v>0</v>
      </c>
      <c r="D35" s="187">
        <v>0</v>
      </c>
      <c r="E35" s="187">
        <v>0</v>
      </c>
      <c r="F35" s="187">
        <v>0</v>
      </c>
      <c r="G35" s="187">
        <v>0</v>
      </c>
      <c r="H35" s="187">
        <v>0</v>
      </c>
      <c r="I35" s="187">
        <v>0</v>
      </c>
      <c r="J35" s="187">
        <v>0</v>
      </c>
      <c r="K35" s="187">
        <v>0</v>
      </c>
      <c r="L35" s="187">
        <v>0</v>
      </c>
      <c r="M35" s="187">
        <v>0</v>
      </c>
      <c r="N35" s="187">
        <v>0</v>
      </c>
      <c r="O35" s="187">
        <v>0</v>
      </c>
      <c r="P35" s="187">
        <v>0</v>
      </c>
      <c r="Q35" s="187">
        <v>0</v>
      </c>
      <c r="R35" s="204">
        <f t="shared" si="0"/>
        <v>0</v>
      </c>
      <c r="S35" s="204">
        <f t="shared" si="2"/>
        <v>0</v>
      </c>
    </row>
    <row r="36" spans="1:19" x14ac:dyDescent="0.2">
      <c r="A36" s="207" t="str">
        <f t="shared" si="1"/>
        <v/>
      </c>
      <c r="B36" s="187">
        <v>0</v>
      </c>
      <c r="C36" s="187">
        <v>0</v>
      </c>
      <c r="D36" s="187">
        <v>0</v>
      </c>
      <c r="E36" s="187">
        <v>0</v>
      </c>
      <c r="F36" s="187">
        <v>0</v>
      </c>
      <c r="G36" s="187">
        <v>0</v>
      </c>
      <c r="H36" s="187">
        <v>0</v>
      </c>
      <c r="I36" s="187">
        <v>0</v>
      </c>
      <c r="J36" s="187">
        <v>0</v>
      </c>
      <c r="K36" s="187">
        <v>0</v>
      </c>
      <c r="L36" s="187">
        <v>0</v>
      </c>
      <c r="M36" s="187">
        <v>0</v>
      </c>
      <c r="N36" s="187">
        <v>0</v>
      </c>
      <c r="O36" s="187">
        <v>0</v>
      </c>
      <c r="P36" s="187">
        <v>0</v>
      </c>
      <c r="Q36" s="187">
        <v>0</v>
      </c>
      <c r="R36" s="204">
        <f t="shared" ref="R36:R55" si="3">fixWkly/52+B36*varWklyProd1+C36*varWklyProd2+D36*varWklyProd3+E36*varWklyProd4+F36*varWklyProd5+G36*varWklyProd6+H36*varWklyProd7+I36*varWklyProd8+J36*varWklyProd9+K36*varWklyProd10+L36*varWklyProd11+M36*varWklyProd12+N36*varWklyProd13+O36*varWklyProd14+P36*varWklyProd15</f>
        <v>0</v>
      </c>
      <c r="S36" s="204">
        <f t="shared" si="2"/>
        <v>0</v>
      </c>
    </row>
    <row r="37" spans="1:19" x14ac:dyDescent="0.2">
      <c r="A37" s="207" t="str">
        <f t="shared" si="1"/>
        <v/>
      </c>
      <c r="B37" s="187">
        <v>0</v>
      </c>
      <c r="C37" s="187">
        <v>0</v>
      </c>
      <c r="D37" s="187">
        <v>0</v>
      </c>
      <c r="E37" s="187">
        <v>0</v>
      </c>
      <c r="F37" s="187">
        <v>0</v>
      </c>
      <c r="G37" s="187">
        <v>0</v>
      </c>
      <c r="H37" s="187">
        <v>0</v>
      </c>
      <c r="I37" s="187">
        <v>0</v>
      </c>
      <c r="J37" s="187">
        <v>0</v>
      </c>
      <c r="K37" s="187">
        <v>0</v>
      </c>
      <c r="L37" s="187">
        <v>0</v>
      </c>
      <c r="M37" s="187">
        <v>0</v>
      </c>
      <c r="N37" s="187">
        <v>0</v>
      </c>
      <c r="O37" s="187">
        <v>0</v>
      </c>
      <c r="P37" s="187">
        <v>0</v>
      </c>
      <c r="Q37" s="187">
        <v>0</v>
      </c>
      <c r="R37" s="204">
        <f t="shared" si="3"/>
        <v>0</v>
      </c>
      <c r="S37" s="204">
        <f t="shared" si="2"/>
        <v>0</v>
      </c>
    </row>
    <row r="38" spans="1:19" x14ac:dyDescent="0.2">
      <c r="A38" s="207" t="str">
        <f t="shared" si="1"/>
        <v/>
      </c>
      <c r="B38" s="187">
        <v>0</v>
      </c>
      <c r="C38" s="187">
        <v>0</v>
      </c>
      <c r="D38" s="187">
        <v>0</v>
      </c>
      <c r="E38" s="187">
        <v>0</v>
      </c>
      <c r="F38" s="187">
        <v>0</v>
      </c>
      <c r="G38" s="187">
        <v>0</v>
      </c>
      <c r="H38" s="187">
        <v>0</v>
      </c>
      <c r="I38" s="187">
        <v>0</v>
      </c>
      <c r="J38" s="187">
        <v>0</v>
      </c>
      <c r="K38" s="187">
        <v>0</v>
      </c>
      <c r="L38" s="187">
        <v>0</v>
      </c>
      <c r="M38" s="187">
        <v>0</v>
      </c>
      <c r="N38" s="187">
        <v>0</v>
      </c>
      <c r="O38" s="187">
        <v>0</v>
      </c>
      <c r="P38" s="187">
        <v>0</v>
      </c>
      <c r="Q38" s="187">
        <v>0</v>
      </c>
      <c r="R38" s="204">
        <f t="shared" si="3"/>
        <v>0</v>
      </c>
      <c r="S38" s="204">
        <f t="shared" si="2"/>
        <v>0</v>
      </c>
    </row>
    <row r="39" spans="1:19" x14ac:dyDescent="0.2">
      <c r="A39" s="207" t="str">
        <f t="shared" si="1"/>
        <v/>
      </c>
      <c r="B39" s="187">
        <v>0</v>
      </c>
      <c r="C39" s="187">
        <v>0</v>
      </c>
      <c r="D39" s="187">
        <v>0</v>
      </c>
      <c r="E39" s="187">
        <v>0</v>
      </c>
      <c r="F39" s="187">
        <v>0</v>
      </c>
      <c r="G39" s="187">
        <v>0</v>
      </c>
      <c r="H39" s="187">
        <v>0</v>
      </c>
      <c r="I39" s="187">
        <v>0</v>
      </c>
      <c r="J39" s="187">
        <v>0</v>
      </c>
      <c r="K39" s="187">
        <v>0</v>
      </c>
      <c r="L39" s="187">
        <v>0</v>
      </c>
      <c r="M39" s="187">
        <v>0</v>
      </c>
      <c r="N39" s="187">
        <v>0</v>
      </c>
      <c r="O39" s="187">
        <v>0</v>
      </c>
      <c r="P39" s="187">
        <v>0</v>
      </c>
      <c r="Q39" s="187">
        <v>0</v>
      </c>
      <c r="R39" s="204">
        <f t="shared" si="3"/>
        <v>0</v>
      </c>
      <c r="S39" s="204">
        <f t="shared" si="2"/>
        <v>0</v>
      </c>
    </row>
    <row r="40" spans="1:19" x14ac:dyDescent="0.2">
      <c r="A40" s="207" t="str">
        <f t="shared" si="1"/>
        <v/>
      </c>
      <c r="B40" s="187">
        <v>0</v>
      </c>
      <c r="C40" s="187">
        <v>0</v>
      </c>
      <c r="D40" s="187">
        <v>0</v>
      </c>
      <c r="E40" s="187">
        <v>0</v>
      </c>
      <c r="F40" s="187">
        <v>0</v>
      </c>
      <c r="G40" s="187">
        <v>0</v>
      </c>
      <c r="H40" s="187">
        <v>0</v>
      </c>
      <c r="I40" s="187">
        <v>0</v>
      </c>
      <c r="J40" s="187">
        <v>0</v>
      </c>
      <c r="K40" s="187">
        <v>0</v>
      </c>
      <c r="L40" s="187">
        <v>0</v>
      </c>
      <c r="M40" s="187">
        <v>0</v>
      </c>
      <c r="N40" s="187">
        <v>0</v>
      </c>
      <c r="O40" s="187">
        <v>0</v>
      </c>
      <c r="P40" s="187">
        <v>0</v>
      </c>
      <c r="Q40" s="187">
        <v>0</v>
      </c>
      <c r="R40" s="204">
        <f t="shared" si="3"/>
        <v>0</v>
      </c>
      <c r="S40" s="204">
        <f t="shared" si="2"/>
        <v>0</v>
      </c>
    </row>
    <row r="41" spans="1:19" x14ac:dyDescent="0.2">
      <c r="A41" s="207" t="str">
        <f t="shared" si="1"/>
        <v/>
      </c>
      <c r="B41" s="187">
        <v>0</v>
      </c>
      <c r="C41" s="187">
        <v>0</v>
      </c>
      <c r="D41" s="187">
        <v>0</v>
      </c>
      <c r="E41" s="187">
        <v>0</v>
      </c>
      <c r="F41" s="187">
        <v>0</v>
      </c>
      <c r="G41" s="187">
        <v>0</v>
      </c>
      <c r="H41" s="187">
        <v>0</v>
      </c>
      <c r="I41" s="187">
        <v>0</v>
      </c>
      <c r="J41" s="187">
        <v>0</v>
      </c>
      <c r="K41" s="187">
        <v>0</v>
      </c>
      <c r="L41" s="187">
        <v>0</v>
      </c>
      <c r="M41" s="187">
        <v>0</v>
      </c>
      <c r="N41" s="187">
        <v>0</v>
      </c>
      <c r="O41" s="187">
        <v>0</v>
      </c>
      <c r="P41" s="187">
        <v>0</v>
      </c>
      <c r="Q41" s="187">
        <v>0</v>
      </c>
      <c r="R41" s="204">
        <f t="shared" si="3"/>
        <v>0</v>
      </c>
      <c r="S41" s="204">
        <f t="shared" si="2"/>
        <v>0</v>
      </c>
    </row>
    <row r="42" spans="1:19" x14ac:dyDescent="0.2">
      <c r="A42" s="207" t="str">
        <f t="shared" si="1"/>
        <v/>
      </c>
      <c r="B42" s="187">
        <v>0</v>
      </c>
      <c r="C42" s="187">
        <v>0</v>
      </c>
      <c r="D42" s="187">
        <v>0</v>
      </c>
      <c r="E42" s="187">
        <v>0</v>
      </c>
      <c r="F42" s="187">
        <v>0</v>
      </c>
      <c r="G42" s="187">
        <v>0</v>
      </c>
      <c r="H42" s="187">
        <v>0</v>
      </c>
      <c r="I42" s="187">
        <v>0</v>
      </c>
      <c r="J42" s="187">
        <v>0</v>
      </c>
      <c r="K42" s="187">
        <v>0</v>
      </c>
      <c r="L42" s="187">
        <v>0</v>
      </c>
      <c r="M42" s="187">
        <v>0</v>
      </c>
      <c r="N42" s="187">
        <v>0</v>
      </c>
      <c r="O42" s="187">
        <v>0</v>
      </c>
      <c r="P42" s="187">
        <v>0</v>
      </c>
      <c r="Q42" s="187">
        <v>0</v>
      </c>
      <c r="R42" s="204">
        <f t="shared" si="3"/>
        <v>0</v>
      </c>
      <c r="S42" s="204">
        <f t="shared" si="2"/>
        <v>0</v>
      </c>
    </row>
    <row r="43" spans="1:19" x14ac:dyDescent="0.2">
      <c r="A43" s="207" t="str">
        <f t="shared" si="1"/>
        <v/>
      </c>
      <c r="B43" s="187">
        <v>0</v>
      </c>
      <c r="C43" s="187">
        <v>0</v>
      </c>
      <c r="D43" s="187">
        <v>0</v>
      </c>
      <c r="E43" s="187">
        <v>0</v>
      </c>
      <c r="F43" s="187">
        <v>0</v>
      </c>
      <c r="G43" s="187">
        <v>0</v>
      </c>
      <c r="H43" s="187">
        <v>0</v>
      </c>
      <c r="I43" s="187">
        <v>0</v>
      </c>
      <c r="J43" s="187">
        <v>0</v>
      </c>
      <c r="K43" s="187">
        <v>0</v>
      </c>
      <c r="L43" s="187">
        <v>0</v>
      </c>
      <c r="M43" s="187">
        <v>0</v>
      </c>
      <c r="N43" s="187">
        <v>0</v>
      </c>
      <c r="O43" s="187">
        <v>0</v>
      </c>
      <c r="P43" s="187">
        <v>0</v>
      </c>
      <c r="Q43" s="187">
        <v>0</v>
      </c>
      <c r="R43" s="204">
        <f t="shared" si="3"/>
        <v>0</v>
      </c>
      <c r="S43" s="204">
        <f t="shared" si="2"/>
        <v>0</v>
      </c>
    </row>
    <row r="44" spans="1:19" x14ac:dyDescent="0.2">
      <c r="A44" s="207" t="str">
        <f t="shared" si="1"/>
        <v/>
      </c>
      <c r="B44" s="187">
        <v>0</v>
      </c>
      <c r="C44" s="187">
        <v>0</v>
      </c>
      <c r="D44" s="187">
        <v>0</v>
      </c>
      <c r="E44" s="187">
        <v>0</v>
      </c>
      <c r="F44" s="187">
        <v>0</v>
      </c>
      <c r="G44" s="187">
        <v>0</v>
      </c>
      <c r="H44" s="187">
        <v>0</v>
      </c>
      <c r="I44" s="187">
        <v>0</v>
      </c>
      <c r="J44" s="187">
        <v>0</v>
      </c>
      <c r="K44" s="187">
        <v>0</v>
      </c>
      <c r="L44" s="187">
        <v>0</v>
      </c>
      <c r="M44" s="187">
        <v>0</v>
      </c>
      <c r="N44" s="187">
        <v>0</v>
      </c>
      <c r="O44" s="187">
        <v>0</v>
      </c>
      <c r="P44" s="187">
        <v>0</v>
      </c>
      <c r="Q44" s="187">
        <v>0</v>
      </c>
      <c r="R44" s="204">
        <f t="shared" si="3"/>
        <v>0</v>
      </c>
      <c r="S44" s="204">
        <f t="shared" si="2"/>
        <v>0</v>
      </c>
    </row>
    <row r="45" spans="1:19" x14ac:dyDescent="0.2">
      <c r="A45" s="207" t="str">
        <f t="shared" si="1"/>
        <v/>
      </c>
      <c r="B45" s="187">
        <v>0</v>
      </c>
      <c r="C45" s="187">
        <v>0</v>
      </c>
      <c r="D45" s="187">
        <v>0</v>
      </c>
      <c r="E45" s="187">
        <v>0</v>
      </c>
      <c r="F45" s="187">
        <v>0</v>
      </c>
      <c r="G45" s="187">
        <v>0</v>
      </c>
      <c r="H45" s="187">
        <v>0</v>
      </c>
      <c r="I45" s="187">
        <v>0</v>
      </c>
      <c r="J45" s="187">
        <v>0</v>
      </c>
      <c r="K45" s="187">
        <v>0</v>
      </c>
      <c r="L45" s="187">
        <v>0</v>
      </c>
      <c r="M45" s="187">
        <v>0</v>
      </c>
      <c r="N45" s="187">
        <v>0</v>
      </c>
      <c r="O45" s="187">
        <v>0</v>
      </c>
      <c r="P45" s="187">
        <v>0</v>
      </c>
      <c r="Q45" s="187">
        <v>0</v>
      </c>
      <c r="R45" s="204">
        <f t="shared" si="3"/>
        <v>0</v>
      </c>
      <c r="S45" s="204">
        <f t="shared" si="2"/>
        <v>0</v>
      </c>
    </row>
    <row r="46" spans="1:19" x14ac:dyDescent="0.2">
      <c r="A46" s="207" t="str">
        <f t="shared" si="1"/>
        <v/>
      </c>
      <c r="B46" s="187">
        <v>0</v>
      </c>
      <c r="C46" s="187">
        <v>0</v>
      </c>
      <c r="D46" s="187">
        <v>0</v>
      </c>
      <c r="E46" s="187">
        <v>0</v>
      </c>
      <c r="F46" s="187">
        <v>0</v>
      </c>
      <c r="G46" s="187">
        <v>0</v>
      </c>
      <c r="H46" s="187">
        <v>0</v>
      </c>
      <c r="I46" s="187">
        <v>0</v>
      </c>
      <c r="J46" s="187">
        <v>0</v>
      </c>
      <c r="K46" s="187">
        <v>0</v>
      </c>
      <c r="L46" s="187">
        <v>0</v>
      </c>
      <c r="M46" s="187">
        <v>0</v>
      </c>
      <c r="N46" s="187">
        <v>0</v>
      </c>
      <c r="O46" s="187">
        <v>0</v>
      </c>
      <c r="P46" s="187">
        <v>0</v>
      </c>
      <c r="Q46" s="187">
        <v>0</v>
      </c>
      <c r="R46" s="204">
        <f t="shared" si="3"/>
        <v>0</v>
      </c>
      <c r="S46" s="204">
        <f t="shared" si="2"/>
        <v>0</v>
      </c>
    </row>
    <row r="47" spans="1:19" x14ac:dyDescent="0.2">
      <c r="A47" s="207" t="str">
        <f t="shared" si="1"/>
        <v/>
      </c>
      <c r="B47" s="187">
        <v>0</v>
      </c>
      <c r="C47" s="187">
        <v>0</v>
      </c>
      <c r="D47" s="187">
        <v>0</v>
      </c>
      <c r="E47" s="187">
        <v>0</v>
      </c>
      <c r="F47" s="187">
        <v>0</v>
      </c>
      <c r="G47" s="187">
        <v>0</v>
      </c>
      <c r="H47" s="187">
        <v>0</v>
      </c>
      <c r="I47" s="187">
        <v>0</v>
      </c>
      <c r="J47" s="187">
        <v>0</v>
      </c>
      <c r="K47" s="187">
        <v>0</v>
      </c>
      <c r="L47" s="187">
        <v>0</v>
      </c>
      <c r="M47" s="187">
        <v>0</v>
      </c>
      <c r="N47" s="187">
        <v>0</v>
      </c>
      <c r="O47" s="187">
        <v>0</v>
      </c>
      <c r="P47" s="187">
        <v>0</v>
      </c>
      <c r="Q47" s="187">
        <v>0</v>
      </c>
      <c r="R47" s="204">
        <f t="shared" si="3"/>
        <v>0</v>
      </c>
      <c r="S47" s="204">
        <f t="shared" si="2"/>
        <v>0</v>
      </c>
    </row>
    <row r="48" spans="1:19" x14ac:dyDescent="0.2">
      <c r="A48" s="207" t="str">
        <f t="shared" si="1"/>
        <v/>
      </c>
      <c r="B48" s="187">
        <v>0</v>
      </c>
      <c r="C48" s="187">
        <v>0</v>
      </c>
      <c r="D48" s="187">
        <v>0</v>
      </c>
      <c r="E48" s="187">
        <v>0</v>
      </c>
      <c r="F48" s="187">
        <v>0</v>
      </c>
      <c r="G48" s="187">
        <v>0</v>
      </c>
      <c r="H48" s="187">
        <v>0</v>
      </c>
      <c r="I48" s="187">
        <v>0</v>
      </c>
      <c r="J48" s="187">
        <v>0</v>
      </c>
      <c r="K48" s="187">
        <v>0</v>
      </c>
      <c r="L48" s="187">
        <v>0</v>
      </c>
      <c r="M48" s="187">
        <v>0</v>
      </c>
      <c r="N48" s="187">
        <v>0</v>
      </c>
      <c r="O48" s="187">
        <v>0</v>
      </c>
      <c r="P48" s="187">
        <v>0</v>
      </c>
      <c r="Q48" s="187">
        <v>0</v>
      </c>
      <c r="R48" s="204">
        <f t="shared" si="3"/>
        <v>0</v>
      </c>
      <c r="S48" s="204">
        <f t="shared" si="2"/>
        <v>0</v>
      </c>
    </row>
    <row r="49" spans="1:19" x14ac:dyDescent="0.2">
      <c r="A49" s="207" t="str">
        <f t="shared" si="1"/>
        <v/>
      </c>
      <c r="B49" s="187">
        <v>0</v>
      </c>
      <c r="C49" s="187">
        <v>0</v>
      </c>
      <c r="D49" s="187">
        <v>0</v>
      </c>
      <c r="E49" s="187">
        <v>0</v>
      </c>
      <c r="F49" s="187">
        <v>0</v>
      </c>
      <c r="G49" s="187">
        <v>0</v>
      </c>
      <c r="H49" s="187">
        <v>0</v>
      </c>
      <c r="I49" s="187">
        <v>0</v>
      </c>
      <c r="J49" s="187">
        <v>0</v>
      </c>
      <c r="K49" s="187">
        <v>0</v>
      </c>
      <c r="L49" s="187">
        <v>0</v>
      </c>
      <c r="M49" s="187">
        <v>0</v>
      </c>
      <c r="N49" s="187">
        <v>0</v>
      </c>
      <c r="O49" s="187">
        <v>0</v>
      </c>
      <c r="P49" s="187">
        <v>0</v>
      </c>
      <c r="Q49" s="187">
        <v>0</v>
      </c>
      <c r="R49" s="204">
        <f t="shared" si="3"/>
        <v>0</v>
      </c>
      <c r="S49" s="204">
        <f t="shared" si="2"/>
        <v>0</v>
      </c>
    </row>
    <row r="50" spans="1:19" x14ac:dyDescent="0.2">
      <c r="A50" s="207" t="str">
        <f t="shared" si="1"/>
        <v/>
      </c>
      <c r="B50" s="187">
        <v>0</v>
      </c>
      <c r="C50" s="187">
        <v>0</v>
      </c>
      <c r="D50" s="187">
        <v>0</v>
      </c>
      <c r="E50" s="187">
        <v>0</v>
      </c>
      <c r="F50" s="187">
        <v>0</v>
      </c>
      <c r="G50" s="187">
        <v>0</v>
      </c>
      <c r="H50" s="187">
        <v>0</v>
      </c>
      <c r="I50" s="187">
        <v>0</v>
      </c>
      <c r="J50" s="187">
        <v>0</v>
      </c>
      <c r="K50" s="187">
        <v>0</v>
      </c>
      <c r="L50" s="187">
        <v>0</v>
      </c>
      <c r="M50" s="187">
        <v>0</v>
      </c>
      <c r="N50" s="187">
        <v>0</v>
      </c>
      <c r="O50" s="187">
        <v>0</v>
      </c>
      <c r="P50" s="187">
        <v>0</v>
      </c>
      <c r="Q50" s="187">
        <v>0</v>
      </c>
      <c r="R50" s="204">
        <f t="shared" si="3"/>
        <v>0</v>
      </c>
      <c r="S50" s="204">
        <f t="shared" si="2"/>
        <v>0</v>
      </c>
    </row>
    <row r="51" spans="1:19" x14ac:dyDescent="0.2">
      <c r="A51" s="207" t="str">
        <f t="shared" si="1"/>
        <v/>
      </c>
      <c r="B51" s="187">
        <v>0</v>
      </c>
      <c r="C51" s="187">
        <v>0</v>
      </c>
      <c r="D51" s="187">
        <v>0</v>
      </c>
      <c r="E51" s="187">
        <v>0</v>
      </c>
      <c r="F51" s="187">
        <v>0</v>
      </c>
      <c r="G51" s="187">
        <v>0</v>
      </c>
      <c r="H51" s="187">
        <v>0</v>
      </c>
      <c r="I51" s="187">
        <v>0</v>
      </c>
      <c r="J51" s="187">
        <v>0</v>
      </c>
      <c r="K51" s="187">
        <v>0</v>
      </c>
      <c r="L51" s="187">
        <v>0</v>
      </c>
      <c r="M51" s="187">
        <v>0</v>
      </c>
      <c r="N51" s="187">
        <v>0</v>
      </c>
      <c r="O51" s="187">
        <v>0</v>
      </c>
      <c r="P51" s="187">
        <v>0</v>
      </c>
      <c r="Q51" s="187">
        <v>0</v>
      </c>
      <c r="R51" s="204">
        <f t="shared" si="3"/>
        <v>0</v>
      </c>
      <c r="S51" s="204">
        <f t="shared" si="2"/>
        <v>0</v>
      </c>
    </row>
    <row r="52" spans="1:19" x14ac:dyDescent="0.2">
      <c r="A52" s="207" t="str">
        <f t="shared" si="1"/>
        <v/>
      </c>
      <c r="B52" s="187">
        <v>0</v>
      </c>
      <c r="C52" s="187">
        <v>0</v>
      </c>
      <c r="D52" s="187">
        <v>0</v>
      </c>
      <c r="E52" s="187">
        <v>0</v>
      </c>
      <c r="F52" s="187">
        <v>0</v>
      </c>
      <c r="G52" s="187">
        <v>0</v>
      </c>
      <c r="H52" s="187">
        <v>0</v>
      </c>
      <c r="I52" s="187">
        <v>0</v>
      </c>
      <c r="J52" s="187">
        <v>0</v>
      </c>
      <c r="K52" s="187">
        <v>0</v>
      </c>
      <c r="L52" s="187">
        <v>0</v>
      </c>
      <c r="M52" s="187">
        <v>0</v>
      </c>
      <c r="N52" s="187">
        <v>0</v>
      </c>
      <c r="O52" s="187">
        <v>0</v>
      </c>
      <c r="P52" s="187">
        <v>0</v>
      </c>
      <c r="Q52" s="187">
        <v>0</v>
      </c>
      <c r="R52" s="204">
        <f t="shared" si="3"/>
        <v>0</v>
      </c>
      <c r="S52" s="204">
        <f t="shared" si="2"/>
        <v>0</v>
      </c>
    </row>
    <row r="53" spans="1:19" x14ac:dyDescent="0.2">
      <c r="A53" s="207" t="str">
        <f t="shared" si="1"/>
        <v/>
      </c>
      <c r="B53" s="187">
        <v>0</v>
      </c>
      <c r="C53" s="187">
        <v>0</v>
      </c>
      <c r="D53" s="187">
        <v>0</v>
      </c>
      <c r="E53" s="187">
        <v>0</v>
      </c>
      <c r="F53" s="187">
        <v>0</v>
      </c>
      <c r="G53" s="187">
        <v>0</v>
      </c>
      <c r="H53" s="187">
        <v>0</v>
      </c>
      <c r="I53" s="187">
        <v>0</v>
      </c>
      <c r="J53" s="187">
        <v>0</v>
      </c>
      <c r="K53" s="187">
        <v>0</v>
      </c>
      <c r="L53" s="187">
        <v>0</v>
      </c>
      <c r="M53" s="187">
        <v>0</v>
      </c>
      <c r="N53" s="187">
        <v>0</v>
      </c>
      <c r="O53" s="187">
        <v>0</v>
      </c>
      <c r="P53" s="187">
        <v>0</v>
      </c>
      <c r="Q53" s="187">
        <v>0</v>
      </c>
      <c r="R53" s="204">
        <f t="shared" si="3"/>
        <v>0</v>
      </c>
      <c r="S53" s="204">
        <f t="shared" si="2"/>
        <v>0</v>
      </c>
    </row>
    <row r="54" spans="1:19" x14ac:dyDescent="0.2">
      <c r="A54" s="207" t="str">
        <f t="shared" si="1"/>
        <v/>
      </c>
      <c r="B54" s="187">
        <v>0</v>
      </c>
      <c r="C54" s="187">
        <v>0</v>
      </c>
      <c r="D54" s="187">
        <v>0</v>
      </c>
      <c r="E54" s="187">
        <v>0</v>
      </c>
      <c r="F54" s="187">
        <v>0</v>
      </c>
      <c r="G54" s="187">
        <v>0</v>
      </c>
      <c r="H54" s="187">
        <v>0</v>
      </c>
      <c r="I54" s="187">
        <v>0</v>
      </c>
      <c r="J54" s="187">
        <v>0</v>
      </c>
      <c r="K54" s="187">
        <v>0</v>
      </c>
      <c r="L54" s="187">
        <v>0</v>
      </c>
      <c r="M54" s="187">
        <v>0</v>
      </c>
      <c r="N54" s="187">
        <v>0</v>
      </c>
      <c r="O54" s="187">
        <v>0</v>
      </c>
      <c r="P54" s="187">
        <v>0</v>
      </c>
      <c r="Q54" s="187">
        <v>0</v>
      </c>
      <c r="R54" s="204">
        <f t="shared" si="3"/>
        <v>0</v>
      </c>
      <c r="S54" s="204">
        <f t="shared" si="2"/>
        <v>0</v>
      </c>
    </row>
    <row r="55" spans="1:19" ht="15.75" thickBot="1" x14ac:dyDescent="0.25">
      <c r="A55" s="207" t="str">
        <f t="shared" si="1"/>
        <v/>
      </c>
      <c r="B55" s="187">
        <v>0</v>
      </c>
      <c r="C55" s="187">
        <v>0</v>
      </c>
      <c r="D55" s="187">
        <v>0</v>
      </c>
      <c r="E55" s="187">
        <v>0</v>
      </c>
      <c r="F55" s="187">
        <v>0</v>
      </c>
      <c r="G55" s="187">
        <v>0</v>
      </c>
      <c r="H55" s="187">
        <v>0</v>
      </c>
      <c r="I55" s="187">
        <v>0</v>
      </c>
      <c r="J55" s="187">
        <v>0</v>
      </c>
      <c r="K55" s="187">
        <v>0</v>
      </c>
      <c r="L55" s="187">
        <v>0</v>
      </c>
      <c r="M55" s="187">
        <v>0</v>
      </c>
      <c r="N55" s="187">
        <v>0</v>
      </c>
      <c r="O55" s="187">
        <v>0</v>
      </c>
      <c r="P55" s="187">
        <v>0</v>
      </c>
      <c r="Q55" s="187">
        <v>0</v>
      </c>
      <c r="R55" s="204">
        <f t="shared" si="3"/>
        <v>0</v>
      </c>
      <c r="S55" s="204">
        <f t="shared" si="2"/>
        <v>0</v>
      </c>
    </row>
    <row r="56" spans="1:19" ht="16.5" thickTop="1" x14ac:dyDescent="0.25">
      <c r="A56" s="78" t="s">
        <v>46</v>
      </c>
      <c r="B56" s="202">
        <f>SUBTOTAL(109,B$4:B$55)</f>
        <v>0</v>
      </c>
      <c r="C56" s="202">
        <f t="shared" ref="C56:S56" si="4">SUBTOTAL(109,C$4:C$55)</f>
        <v>0</v>
      </c>
      <c r="D56" s="202">
        <f t="shared" si="4"/>
        <v>0</v>
      </c>
      <c r="E56" s="202">
        <f t="shared" si="4"/>
        <v>0</v>
      </c>
      <c r="F56" s="202">
        <f t="shared" si="4"/>
        <v>0</v>
      </c>
      <c r="G56" s="202">
        <f t="shared" si="4"/>
        <v>0</v>
      </c>
      <c r="H56" s="202">
        <f t="shared" si="4"/>
        <v>0</v>
      </c>
      <c r="I56" s="202">
        <f t="shared" si="4"/>
        <v>0</v>
      </c>
      <c r="J56" s="202">
        <f t="shared" si="4"/>
        <v>0</v>
      </c>
      <c r="K56" s="202">
        <f t="shared" si="4"/>
        <v>0</v>
      </c>
      <c r="L56" s="202">
        <f t="shared" si="4"/>
        <v>0</v>
      </c>
      <c r="M56" s="202">
        <f t="shared" si="4"/>
        <v>0</v>
      </c>
      <c r="N56" s="202">
        <f t="shared" si="4"/>
        <v>0</v>
      </c>
      <c r="O56" s="202">
        <f t="shared" si="4"/>
        <v>0</v>
      </c>
      <c r="P56" s="202">
        <f t="shared" si="4"/>
        <v>0</v>
      </c>
      <c r="Q56" s="202">
        <f t="shared" si="4"/>
        <v>0</v>
      </c>
      <c r="R56" s="202">
        <f t="shared" si="4"/>
        <v>0</v>
      </c>
      <c r="S56" s="202">
        <f t="shared" si="4"/>
        <v>0</v>
      </c>
    </row>
    <row r="57" spans="1:19" x14ac:dyDescent="0.2">
      <c r="A57" s="207"/>
    </row>
    <row r="58" spans="1:19" ht="15.75" x14ac:dyDescent="0.25">
      <c r="A58" s="75" t="s">
        <v>368</v>
      </c>
      <c r="O58" t="str">
        <f>"Total primary base year "&amp;targetType&amp;" (excluding ETS) from the ""Base year fuel types"" tab"</f>
        <v>Total primary base year  (excluding ETS) from the "Base year fuel types" tab</v>
      </c>
    </row>
    <row r="59" spans="1:19" x14ac:dyDescent="0.2">
      <c r="A59" t="str">
        <f>"Fixed "&amp;targetType</f>
        <v xml:space="preserve">Fixed </v>
      </c>
      <c r="B59" s="153" cm="1">
        <f t="array" ref="B59">INDEX(LINEST($Q$4:$Q$55,$B$4:$P$55),16)*52</f>
        <v>0</v>
      </c>
      <c r="C59" t="str">
        <f>reportingUnits&amp;" / year"</f>
        <v xml:space="preserve"> / year</v>
      </c>
      <c r="Q59" s="233">
        <f>primaryBaseYearEnergy</f>
        <v>0</v>
      </c>
    </row>
    <row r="60" spans="1:19" x14ac:dyDescent="0.2">
      <c r="A60" t="str">
        <f>targetType&amp;" intensity ("&amp;B3&amp;")"</f>
        <v xml:space="preserve"> intensity (Product 1)</v>
      </c>
      <c r="B60" s="153" cm="1">
        <f t="array" ref="B60">INDEX(LINEST($Q$4:$Q$55,$B$4:$P$55),15)</f>
        <v>0</v>
      </c>
      <c r="C60" t="str">
        <f t="shared" ref="C60:C74" si="5">reportingUnits&amp;" / throughput unit"</f>
        <v xml:space="preserve"> / throughput unit</v>
      </c>
    </row>
    <row r="61" spans="1:19" x14ac:dyDescent="0.2">
      <c r="A61" t="str">
        <f>targetType&amp;" intensity ("&amp;C3&amp;")"</f>
        <v xml:space="preserve"> intensity (Product 2)</v>
      </c>
      <c r="B61" s="153" cm="1">
        <f t="array" ref="B61">INDEX(LINEST($Q$4:$Q$55,$B$4:$P$55),14)</f>
        <v>0</v>
      </c>
      <c r="C61" t="str">
        <f t="shared" si="5"/>
        <v xml:space="preserve"> / throughput unit</v>
      </c>
    </row>
    <row r="62" spans="1:19" x14ac:dyDescent="0.2">
      <c r="A62" t="str">
        <f>targetType&amp;" intensity ("&amp;D3&amp;")"</f>
        <v xml:space="preserve"> intensity (Product 3)</v>
      </c>
      <c r="B62" s="153" cm="1">
        <f t="array" ref="B62">INDEX(LINEST($Q$4:$Q$55,$B$4:$P$55),13)</f>
        <v>0</v>
      </c>
      <c r="C62" t="str">
        <f t="shared" si="5"/>
        <v xml:space="preserve"> / throughput unit</v>
      </c>
    </row>
    <row r="63" spans="1:19" x14ac:dyDescent="0.2">
      <c r="A63" t="str">
        <f>targetType&amp;" intensity ("&amp;E3&amp;")"</f>
        <v xml:space="preserve"> intensity (Product 4)</v>
      </c>
      <c r="B63" s="153" cm="1">
        <f t="array" ref="B63">INDEX(LINEST($Q$4:$Q$55,$B$4:$P$55),12)</f>
        <v>0</v>
      </c>
      <c r="C63" t="str">
        <f t="shared" si="5"/>
        <v xml:space="preserve"> / throughput unit</v>
      </c>
    </row>
    <row r="64" spans="1:19" x14ac:dyDescent="0.2">
      <c r="A64" t="str">
        <f>targetType&amp;" intensity ("&amp;F3&amp;")"</f>
        <v xml:space="preserve"> intensity (Product 5)</v>
      </c>
      <c r="B64" s="153" cm="1">
        <f t="array" ref="B64">INDEX(LINEST($Q$4:$Q$55,$B$4:$P$55),11)</f>
        <v>0</v>
      </c>
      <c r="C64" t="str">
        <f t="shared" si="5"/>
        <v xml:space="preserve"> / throughput unit</v>
      </c>
    </row>
    <row r="65" spans="1:3" x14ac:dyDescent="0.2">
      <c r="A65" t="str">
        <f>targetType&amp;" intensity ("&amp;G3&amp;")"</f>
        <v xml:space="preserve"> intensity (Product 6)</v>
      </c>
      <c r="B65" s="153" cm="1">
        <f t="array" ref="B65">INDEX(LINEST($Q$4:$Q$55,$B$4:$P$55),10)</f>
        <v>0</v>
      </c>
      <c r="C65" t="str">
        <f t="shared" si="5"/>
        <v xml:space="preserve"> / throughput unit</v>
      </c>
    </row>
    <row r="66" spans="1:3" x14ac:dyDescent="0.2">
      <c r="A66" t="str">
        <f>targetType&amp;" intensity ("&amp;H3&amp;")"</f>
        <v xml:space="preserve"> intensity (Product 7)</v>
      </c>
      <c r="B66" s="153" cm="1">
        <f t="array" ref="B66">INDEX(LINEST($Q$4:$Q$55,$B$4:$P$55),9)</f>
        <v>0</v>
      </c>
      <c r="C66" t="str">
        <f t="shared" si="5"/>
        <v xml:space="preserve"> / throughput unit</v>
      </c>
    </row>
    <row r="67" spans="1:3" x14ac:dyDescent="0.2">
      <c r="A67" t="str">
        <f>targetType&amp;" intensity ("&amp;I3&amp;")"</f>
        <v xml:space="preserve"> intensity (Product 8)</v>
      </c>
      <c r="B67" s="153" cm="1">
        <f t="array" ref="B67">INDEX(LINEST($Q$4:$Q$55,$B$4:$P$55),8)</f>
        <v>0</v>
      </c>
      <c r="C67" t="str">
        <f t="shared" si="5"/>
        <v xml:space="preserve"> / throughput unit</v>
      </c>
    </row>
    <row r="68" spans="1:3" x14ac:dyDescent="0.2">
      <c r="A68" t="str">
        <f>targetType&amp;" intensity ("&amp;J3&amp;")"</f>
        <v xml:space="preserve"> intensity (Product 9)</v>
      </c>
      <c r="B68" s="153" cm="1">
        <f t="array" ref="B68">INDEX(LINEST($Q$4:$Q$55,$B$4:$P$55),7)</f>
        <v>0</v>
      </c>
      <c r="C68" t="str">
        <f t="shared" si="5"/>
        <v xml:space="preserve"> / throughput unit</v>
      </c>
    </row>
    <row r="69" spans="1:3" x14ac:dyDescent="0.2">
      <c r="A69" t="str">
        <f>targetType&amp;" intensity ("&amp;K3&amp;")"</f>
        <v xml:space="preserve"> intensity (Product 10)</v>
      </c>
      <c r="B69" s="153" cm="1">
        <f t="array" ref="B69">INDEX(LINEST($Q$4:$Q$55,$B$4:$P$55),6)</f>
        <v>0</v>
      </c>
      <c r="C69" t="str">
        <f t="shared" si="5"/>
        <v xml:space="preserve"> / throughput unit</v>
      </c>
    </row>
    <row r="70" spans="1:3" x14ac:dyDescent="0.2">
      <c r="A70" t="str">
        <f>targetType&amp;" intensity ("&amp;L3&amp;")"</f>
        <v xml:space="preserve"> intensity (Product 11)</v>
      </c>
      <c r="B70" s="153" cm="1">
        <f t="array" ref="B70">INDEX(LINEST($Q$4:$Q$55,$B$4:$P$55),5)</f>
        <v>0</v>
      </c>
      <c r="C70" t="str">
        <f t="shared" si="5"/>
        <v xml:space="preserve"> / throughput unit</v>
      </c>
    </row>
    <row r="71" spans="1:3" x14ac:dyDescent="0.2">
      <c r="A71" t="str">
        <f>targetType&amp;" intensity ("&amp;M3&amp;")"</f>
        <v xml:space="preserve"> intensity (Product 12)</v>
      </c>
      <c r="B71" s="153" cm="1">
        <f t="array" ref="B71">INDEX(LINEST($Q$4:$Q$55,$B$4:$P$55),4)</f>
        <v>0</v>
      </c>
      <c r="C71" t="str">
        <f t="shared" si="5"/>
        <v xml:space="preserve"> / throughput unit</v>
      </c>
    </row>
    <row r="72" spans="1:3" x14ac:dyDescent="0.2">
      <c r="A72" t="str">
        <f>targetType&amp;" intensity ("&amp;N3&amp;")"</f>
        <v xml:space="preserve"> intensity (Product 13)</v>
      </c>
      <c r="B72" s="153" cm="1">
        <f t="array" ref="B72">INDEX(LINEST($Q$4:$Q$55,$B$4:$P$55),3)</f>
        <v>0</v>
      </c>
      <c r="C72" t="str">
        <f t="shared" si="5"/>
        <v xml:space="preserve"> / throughput unit</v>
      </c>
    </row>
    <row r="73" spans="1:3" x14ac:dyDescent="0.2">
      <c r="A73" t="str">
        <f>targetType&amp;" intensity ("&amp;O3&amp;")"</f>
        <v xml:space="preserve"> intensity (Product 14)</v>
      </c>
      <c r="B73" s="153" cm="1">
        <f t="array" ref="B73">INDEX(LINEST($Q$4:$Q$55,$B$4:$P$55),2)</f>
        <v>0</v>
      </c>
      <c r="C73" t="str">
        <f t="shared" si="5"/>
        <v xml:space="preserve"> / throughput unit</v>
      </c>
    </row>
    <row r="74" spans="1:3" x14ac:dyDescent="0.2">
      <c r="A74" t="str">
        <f>targetType&amp;" intensity ("&amp;P3&amp;")"</f>
        <v xml:space="preserve"> intensity (Product 15)</v>
      </c>
      <c r="B74" s="153" cm="1">
        <f t="array" ref="B74">INDEX(LINEST($Q$4:$Q$55,$B$4:$P$55),1)</f>
        <v>0</v>
      </c>
      <c r="C74" t="str">
        <f t="shared" si="5"/>
        <v xml:space="preserve"> / throughput unit</v>
      </c>
    </row>
  </sheetData>
  <sheetProtection algorithmName="SHA-512" hashValue="gNdJd1+5L2vNvYOawtk/4Qt67mqroJuqpRZZT0MNy/qcKVwdX6QakfpM8SdcXqBruUkb7BXtJUFNOximUxsgIQ==" saltValue="8vTti3Q+Uxi8Qh+brfi0YA==" spinCount="100000" sheet="1" objects="1" scenarios="1"/>
  <phoneticPr fontId="46"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D9279-000C-4495-A4B4-8B2FF0E9A798}">
  <sheetPr codeName="Sheet4">
    <tabColor theme="9" tint="0.39997558519241921"/>
    <pageSetUpPr fitToPage="1"/>
  </sheetPr>
  <dimension ref="A1:Y160"/>
  <sheetViews>
    <sheetView zoomScaleNormal="100" workbookViewId="0">
      <pane xSplit="1" ySplit="2" topLeftCell="B3" activePane="bottomRight" state="frozen"/>
      <selection pane="topRight" activeCell="M22" sqref="M22"/>
      <selection pane="bottomLeft" activeCell="M22" sqref="M22"/>
      <selection pane="bottomRight" activeCell="F32" sqref="F32"/>
    </sheetView>
  </sheetViews>
  <sheetFormatPr defaultColWidth="8.77734375" defaultRowHeight="12.75" x14ac:dyDescent="0.2"/>
  <cols>
    <col min="1" max="1" width="4.33203125" style="3" customWidth="1"/>
    <col min="2" max="2" width="12.88671875" style="3" customWidth="1"/>
    <col min="3" max="3" width="24.5546875" style="3" customWidth="1"/>
    <col min="4" max="4" width="11.33203125" style="3" customWidth="1"/>
    <col min="5" max="5" width="17.33203125" style="3" customWidth="1"/>
    <col min="6" max="8" width="18.44140625" style="3" bestFit="1" customWidth="1"/>
    <col min="9" max="9" width="32.33203125" style="3" customWidth="1"/>
    <col min="10" max="20" width="10.44140625" style="3" customWidth="1"/>
    <col min="21" max="25" width="8.77734375" style="3"/>
    <col min="26" max="256" width="8.77734375" style="4"/>
    <col min="257" max="257" width="4.33203125" style="4" customWidth="1"/>
    <col min="258" max="258" width="12.88671875" style="4" customWidth="1"/>
    <col min="259" max="259" width="24.5546875" style="4" customWidth="1"/>
    <col min="260" max="260" width="11.33203125" style="4" customWidth="1"/>
    <col min="261" max="261" width="17.33203125" style="4" customWidth="1"/>
    <col min="262" max="264" width="18.44140625" style="4" bestFit="1" customWidth="1"/>
    <col min="265" max="265" width="32.33203125" style="4" customWidth="1"/>
    <col min="266" max="276" width="10.44140625" style="4" customWidth="1"/>
    <col min="277" max="512" width="8.77734375" style="4"/>
    <col min="513" max="513" width="4.33203125" style="4" customWidth="1"/>
    <col min="514" max="514" width="12.88671875" style="4" customWidth="1"/>
    <col min="515" max="515" width="24.5546875" style="4" customWidth="1"/>
    <col min="516" max="516" width="11.33203125" style="4" customWidth="1"/>
    <col min="517" max="517" width="17.33203125" style="4" customWidth="1"/>
    <col min="518" max="520" width="18.44140625" style="4" bestFit="1" customWidth="1"/>
    <col min="521" max="521" width="32.33203125" style="4" customWidth="1"/>
    <col min="522" max="532" width="10.44140625" style="4" customWidth="1"/>
    <col min="533" max="768" width="8.77734375" style="4"/>
    <col min="769" max="769" width="4.33203125" style="4" customWidth="1"/>
    <col min="770" max="770" width="12.88671875" style="4" customWidth="1"/>
    <col min="771" max="771" width="24.5546875" style="4" customWidth="1"/>
    <col min="772" max="772" width="11.33203125" style="4" customWidth="1"/>
    <col min="773" max="773" width="17.33203125" style="4" customWidth="1"/>
    <col min="774" max="776" width="18.44140625" style="4" bestFit="1" customWidth="1"/>
    <col min="777" max="777" width="32.33203125" style="4" customWidth="1"/>
    <col min="778" max="788" width="10.44140625" style="4" customWidth="1"/>
    <col min="789" max="1024" width="8.77734375" style="4"/>
    <col min="1025" max="1025" width="4.33203125" style="4" customWidth="1"/>
    <col min="1026" max="1026" width="12.88671875" style="4" customWidth="1"/>
    <col min="1027" max="1027" width="24.5546875" style="4" customWidth="1"/>
    <col min="1028" max="1028" width="11.33203125" style="4" customWidth="1"/>
    <col min="1029" max="1029" width="17.33203125" style="4" customWidth="1"/>
    <col min="1030" max="1032" width="18.44140625" style="4" bestFit="1" customWidth="1"/>
    <col min="1033" max="1033" width="32.33203125" style="4" customWidth="1"/>
    <col min="1034" max="1044" width="10.44140625" style="4" customWidth="1"/>
    <col min="1045" max="1280" width="8.77734375" style="4"/>
    <col min="1281" max="1281" width="4.33203125" style="4" customWidth="1"/>
    <col min="1282" max="1282" width="12.88671875" style="4" customWidth="1"/>
    <col min="1283" max="1283" width="24.5546875" style="4" customWidth="1"/>
    <col min="1284" max="1284" width="11.33203125" style="4" customWidth="1"/>
    <col min="1285" max="1285" width="17.33203125" style="4" customWidth="1"/>
    <col min="1286" max="1288" width="18.44140625" style="4" bestFit="1" customWidth="1"/>
    <col min="1289" max="1289" width="32.33203125" style="4" customWidth="1"/>
    <col min="1290" max="1300" width="10.44140625" style="4" customWidth="1"/>
    <col min="1301" max="1536" width="8.77734375" style="4"/>
    <col min="1537" max="1537" width="4.33203125" style="4" customWidth="1"/>
    <col min="1538" max="1538" width="12.88671875" style="4" customWidth="1"/>
    <col min="1539" max="1539" width="24.5546875" style="4" customWidth="1"/>
    <col min="1540" max="1540" width="11.33203125" style="4" customWidth="1"/>
    <col min="1541" max="1541" width="17.33203125" style="4" customWidth="1"/>
    <col min="1542" max="1544" width="18.44140625" style="4" bestFit="1" customWidth="1"/>
    <col min="1545" max="1545" width="32.33203125" style="4" customWidth="1"/>
    <col min="1546" max="1556" width="10.44140625" style="4" customWidth="1"/>
    <col min="1557" max="1792" width="8.77734375" style="4"/>
    <col min="1793" max="1793" width="4.33203125" style="4" customWidth="1"/>
    <col min="1794" max="1794" width="12.88671875" style="4" customWidth="1"/>
    <col min="1795" max="1795" width="24.5546875" style="4" customWidth="1"/>
    <col min="1796" max="1796" width="11.33203125" style="4" customWidth="1"/>
    <col min="1797" max="1797" width="17.33203125" style="4" customWidth="1"/>
    <col min="1798" max="1800" width="18.44140625" style="4" bestFit="1" customWidth="1"/>
    <col min="1801" max="1801" width="32.33203125" style="4" customWidth="1"/>
    <col min="1802" max="1812" width="10.44140625" style="4" customWidth="1"/>
    <col min="1813" max="2048" width="8.77734375" style="4"/>
    <col min="2049" max="2049" width="4.33203125" style="4" customWidth="1"/>
    <col min="2050" max="2050" width="12.88671875" style="4" customWidth="1"/>
    <col min="2051" max="2051" width="24.5546875" style="4" customWidth="1"/>
    <col min="2052" max="2052" width="11.33203125" style="4" customWidth="1"/>
    <col min="2053" max="2053" width="17.33203125" style="4" customWidth="1"/>
    <col min="2054" max="2056" width="18.44140625" style="4" bestFit="1" customWidth="1"/>
    <col min="2057" max="2057" width="32.33203125" style="4" customWidth="1"/>
    <col min="2058" max="2068" width="10.44140625" style="4" customWidth="1"/>
    <col min="2069" max="2304" width="8.77734375" style="4"/>
    <col min="2305" max="2305" width="4.33203125" style="4" customWidth="1"/>
    <col min="2306" max="2306" width="12.88671875" style="4" customWidth="1"/>
    <col min="2307" max="2307" width="24.5546875" style="4" customWidth="1"/>
    <col min="2308" max="2308" width="11.33203125" style="4" customWidth="1"/>
    <col min="2309" max="2309" width="17.33203125" style="4" customWidth="1"/>
    <col min="2310" max="2312" width="18.44140625" style="4" bestFit="1" customWidth="1"/>
    <col min="2313" max="2313" width="32.33203125" style="4" customWidth="1"/>
    <col min="2314" max="2324" width="10.44140625" style="4" customWidth="1"/>
    <col min="2325" max="2560" width="8.77734375" style="4"/>
    <col min="2561" max="2561" width="4.33203125" style="4" customWidth="1"/>
    <col min="2562" max="2562" width="12.88671875" style="4" customWidth="1"/>
    <col min="2563" max="2563" width="24.5546875" style="4" customWidth="1"/>
    <col min="2564" max="2564" width="11.33203125" style="4" customWidth="1"/>
    <col min="2565" max="2565" width="17.33203125" style="4" customWidth="1"/>
    <col min="2566" max="2568" width="18.44140625" style="4" bestFit="1" customWidth="1"/>
    <col min="2569" max="2569" width="32.33203125" style="4" customWidth="1"/>
    <col min="2570" max="2580" width="10.44140625" style="4" customWidth="1"/>
    <col min="2581" max="2816" width="8.77734375" style="4"/>
    <col min="2817" max="2817" width="4.33203125" style="4" customWidth="1"/>
    <col min="2818" max="2818" width="12.88671875" style="4" customWidth="1"/>
    <col min="2819" max="2819" width="24.5546875" style="4" customWidth="1"/>
    <col min="2820" max="2820" width="11.33203125" style="4" customWidth="1"/>
    <col min="2821" max="2821" width="17.33203125" style="4" customWidth="1"/>
    <col min="2822" max="2824" width="18.44140625" style="4" bestFit="1" customWidth="1"/>
    <col min="2825" max="2825" width="32.33203125" style="4" customWidth="1"/>
    <col min="2826" max="2836" width="10.44140625" style="4" customWidth="1"/>
    <col min="2837" max="3072" width="8.77734375" style="4"/>
    <col min="3073" max="3073" width="4.33203125" style="4" customWidth="1"/>
    <col min="3074" max="3074" width="12.88671875" style="4" customWidth="1"/>
    <col min="3075" max="3075" width="24.5546875" style="4" customWidth="1"/>
    <col min="3076" max="3076" width="11.33203125" style="4" customWidth="1"/>
    <col min="3077" max="3077" width="17.33203125" style="4" customWidth="1"/>
    <col min="3078" max="3080" width="18.44140625" style="4" bestFit="1" customWidth="1"/>
    <col min="3081" max="3081" width="32.33203125" style="4" customWidth="1"/>
    <col min="3082" max="3092" width="10.44140625" style="4" customWidth="1"/>
    <col min="3093" max="3328" width="8.77734375" style="4"/>
    <col min="3329" max="3329" width="4.33203125" style="4" customWidth="1"/>
    <col min="3330" max="3330" width="12.88671875" style="4" customWidth="1"/>
    <col min="3331" max="3331" width="24.5546875" style="4" customWidth="1"/>
    <col min="3332" max="3332" width="11.33203125" style="4" customWidth="1"/>
    <col min="3333" max="3333" width="17.33203125" style="4" customWidth="1"/>
    <col min="3334" max="3336" width="18.44140625" style="4" bestFit="1" customWidth="1"/>
    <col min="3337" max="3337" width="32.33203125" style="4" customWidth="1"/>
    <col min="3338" max="3348" width="10.44140625" style="4" customWidth="1"/>
    <col min="3349" max="3584" width="8.77734375" style="4"/>
    <col min="3585" max="3585" width="4.33203125" style="4" customWidth="1"/>
    <col min="3586" max="3586" width="12.88671875" style="4" customWidth="1"/>
    <col min="3587" max="3587" width="24.5546875" style="4" customWidth="1"/>
    <col min="3588" max="3588" width="11.33203125" style="4" customWidth="1"/>
    <col min="3589" max="3589" width="17.33203125" style="4" customWidth="1"/>
    <col min="3590" max="3592" width="18.44140625" style="4" bestFit="1" customWidth="1"/>
    <col min="3593" max="3593" width="32.33203125" style="4" customWidth="1"/>
    <col min="3594" max="3604" width="10.44140625" style="4" customWidth="1"/>
    <col min="3605" max="3840" width="8.77734375" style="4"/>
    <col min="3841" max="3841" width="4.33203125" style="4" customWidth="1"/>
    <col min="3842" max="3842" width="12.88671875" style="4" customWidth="1"/>
    <col min="3843" max="3843" width="24.5546875" style="4" customWidth="1"/>
    <col min="3844" max="3844" width="11.33203125" style="4" customWidth="1"/>
    <col min="3845" max="3845" width="17.33203125" style="4" customWidth="1"/>
    <col min="3846" max="3848" width="18.44140625" style="4" bestFit="1" customWidth="1"/>
    <col min="3849" max="3849" width="32.33203125" style="4" customWidth="1"/>
    <col min="3850" max="3860" width="10.44140625" style="4" customWidth="1"/>
    <col min="3861" max="4096" width="8.77734375" style="4"/>
    <col min="4097" max="4097" width="4.33203125" style="4" customWidth="1"/>
    <col min="4098" max="4098" width="12.88671875" style="4" customWidth="1"/>
    <col min="4099" max="4099" width="24.5546875" style="4" customWidth="1"/>
    <col min="4100" max="4100" width="11.33203125" style="4" customWidth="1"/>
    <col min="4101" max="4101" width="17.33203125" style="4" customWidth="1"/>
    <col min="4102" max="4104" width="18.44140625" style="4" bestFit="1" customWidth="1"/>
    <col min="4105" max="4105" width="32.33203125" style="4" customWidth="1"/>
    <col min="4106" max="4116" width="10.44140625" style="4" customWidth="1"/>
    <col min="4117" max="4352" width="8.77734375" style="4"/>
    <col min="4353" max="4353" width="4.33203125" style="4" customWidth="1"/>
    <col min="4354" max="4354" width="12.88671875" style="4" customWidth="1"/>
    <col min="4355" max="4355" width="24.5546875" style="4" customWidth="1"/>
    <col min="4356" max="4356" width="11.33203125" style="4" customWidth="1"/>
    <col min="4357" max="4357" width="17.33203125" style="4" customWidth="1"/>
    <col min="4358" max="4360" width="18.44140625" style="4" bestFit="1" customWidth="1"/>
    <col min="4361" max="4361" width="32.33203125" style="4" customWidth="1"/>
    <col min="4362" max="4372" width="10.44140625" style="4" customWidth="1"/>
    <col min="4373" max="4608" width="8.77734375" style="4"/>
    <col min="4609" max="4609" width="4.33203125" style="4" customWidth="1"/>
    <col min="4610" max="4610" width="12.88671875" style="4" customWidth="1"/>
    <col min="4611" max="4611" width="24.5546875" style="4" customWidth="1"/>
    <col min="4612" max="4612" width="11.33203125" style="4" customWidth="1"/>
    <col min="4613" max="4613" width="17.33203125" style="4" customWidth="1"/>
    <col min="4614" max="4616" width="18.44140625" style="4" bestFit="1" customWidth="1"/>
    <col min="4617" max="4617" width="32.33203125" style="4" customWidth="1"/>
    <col min="4618" max="4628" width="10.44140625" style="4" customWidth="1"/>
    <col min="4629" max="4864" width="8.77734375" style="4"/>
    <col min="4865" max="4865" width="4.33203125" style="4" customWidth="1"/>
    <col min="4866" max="4866" width="12.88671875" style="4" customWidth="1"/>
    <col min="4867" max="4867" width="24.5546875" style="4" customWidth="1"/>
    <col min="4868" max="4868" width="11.33203125" style="4" customWidth="1"/>
    <col min="4869" max="4869" width="17.33203125" style="4" customWidth="1"/>
    <col min="4870" max="4872" width="18.44140625" style="4" bestFit="1" customWidth="1"/>
    <col min="4873" max="4873" width="32.33203125" style="4" customWidth="1"/>
    <col min="4874" max="4884" width="10.44140625" style="4" customWidth="1"/>
    <col min="4885" max="5120" width="8.77734375" style="4"/>
    <col min="5121" max="5121" width="4.33203125" style="4" customWidth="1"/>
    <col min="5122" max="5122" width="12.88671875" style="4" customWidth="1"/>
    <col min="5123" max="5123" width="24.5546875" style="4" customWidth="1"/>
    <col min="5124" max="5124" width="11.33203125" style="4" customWidth="1"/>
    <col min="5125" max="5125" width="17.33203125" style="4" customWidth="1"/>
    <col min="5126" max="5128" width="18.44140625" style="4" bestFit="1" customWidth="1"/>
    <col min="5129" max="5129" width="32.33203125" style="4" customWidth="1"/>
    <col min="5130" max="5140" width="10.44140625" style="4" customWidth="1"/>
    <col min="5141" max="5376" width="8.77734375" style="4"/>
    <col min="5377" max="5377" width="4.33203125" style="4" customWidth="1"/>
    <col min="5378" max="5378" width="12.88671875" style="4" customWidth="1"/>
    <col min="5379" max="5379" width="24.5546875" style="4" customWidth="1"/>
    <col min="5380" max="5380" width="11.33203125" style="4" customWidth="1"/>
    <col min="5381" max="5381" width="17.33203125" style="4" customWidth="1"/>
    <col min="5382" max="5384" width="18.44140625" style="4" bestFit="1" customWidth="1"/>
    <col min="5385" max="5385" width="32.33203125" style="4" customWidth="1"/>
    <col min="5386" max="5396" width="10.44140625" style="4" customWidth="1"/>
    <col min="5397" max="5632" width="8.77734375" style="4"/>
    <col min="5633" max="5633" width="4.33203125" style="4" customWidth="1"/>
    <col min="5634" max="5634" width="12.88671875" style="4" customWidth="1"/>
    <col min="5635" max="5635" width="24.5546875" style="4" customWidth="1"/>
    <col min="5636" max="5636" width="11.33203125" style="4" customWidth="1"/>
    <col min="5637" max="5637" width="17.33203125" style="4" customWidth="1"/>
    <col min="5638" max="5640" width="18.44140625" style="4" bestFit="1" customWidth="1"/>
    <col min="5641" max="5641" width="32.33203125" style="4" customWidth="1"/>
    <col min="5642" max="5652" width="10.44140625" style="4" customWidth="1"/>
    <col min="5653" max="5888" width="8.77734375" style="4"/>
    <col min="5889" max="5889" width="4.33203125" style="4" customWidth="1"/>
    <col min="5890" max="5890" width="12.88671875" style="4" customWidth="1"/>
    <col min="5891" max="5891" width="24.5546875" style="4" customWidth="1"/>
    <col min="5892" max="5892" width="11.33203125" style="4" customWidth="1"/>
    <col min="5893" max="5893" width="17.33203125" style="4" customWidth="1"/>
    <col min="5894" max="5896" width="18.44140625" style="4" bestFit="1" customWidth="1"/>
    <col min="5897" max="5897" width="32.33203125" style="4" customWidth="1"/>
    <col min="5898" max="5908" width="10.44140625" style="4" customWidth="1"/>
    <col min="5909" max="6144" width="8.77734375" style="4"/>
    <col min="6145" max="6145" width="4.33203125" style="4" customWidth="1"/>
    <col min="6146" max="6146" width="12.88671875" style="4" customWidth="1"/>
    <col min="6147" max="6147" width="24.5546875" style="4" customWidth="1"/>
    <col min="6148" max="6148" width="11.33203125" style="4" customWidth="1"/>
    <col min="6149" max="6149" width="17.33203125" style="4" customWidth="1"/>
    <col min="6150" max="6152" width="18.44140625" style="4" bestFit="1" customWidth="1"/>
    <col min="6153" max="6153" width="32.33203125" style="4" customWidth="1"/>
    <col min="6154" max="6164" width="10.44140625" style="4" customWidth="1"/>
    <col min="6165" max="6400" width="8.77734375" style="4"/>
    <col min="6401" max="6401" width="4.33203125" style="4" customWidth="1"/>
    <col min="6402" max="6402" width="12.88671875" style="4" customWidth="1"/>
    <col min="6403" max="6403" width="24.5546875" style="4" customWidth="1"/>
    <col min="6404" max="6404" width="11.33203125" style="4" customWidth="1"/>
    <col min="6405" max="6405" width="17.33203125" style="4" customWidth="1"/>
    <col min="6406" max="6408" width="18.44140625" style="4" bestFit="1" customWidth="1"/>
    <col min="6409" max="6409" width="32.33203125" style="4" customWidth="1"/>
    <col min="6410" max="6420" width="10.44140625" style="4" customWidth="1"/>
    <col min="6421" max="6656" width="8.77734375" style="4"/>
    <col min="6657" max="6657" width="4.33203125" style="4" customWidth="1"/>
    <col min="6658" max="6658" width="12.88671875" style="4" customWidth="1"/>
    <col min="6659" max="6659" width="24.5546875" style="4" customWidth="1"/>
    <col min="6660" max="6660" width="11.33203125" style="4" customWidth="1"/>
    <col min="6661" max="6661" width="17.33203125" style="4" customWidth="1"/>
    <col min="6662" max="6664" width="18.44140625" style="4" bestFit="1" customWidth="1"/>
    <col min="6665" max="6665" width="32.33203125" style="4" customWidth="1"/>
    <col min="6666" max="6676" width="10.44140625" style="4" customWidth="1"/>
    <col min="6677" max="6912" width="8.77734375" style="4"/>
    <col min="6913" max="6913" width="4.33203125" style="4" customWidth="1"/>
    <col min="6914" max="6914" width="12.88671875" style="4" customWidth="1"/>
    <col min="6915" max="6915" width="24.5546875" style="4" customWidth="1"/>
    <col min="6916" max="6916" width="11.33203125" style="4" customWidth="1"/>
    <col min="6917" max="6917" width="17.33203125" style="4" customWidth="1"/>
    <col min="6918" max="6920" width="18.44140625" style="4" bestFit="1" customWidth="1"/>
    <col min="6921" max="6921" width="32.33203125" style="4" customWidth="1"/>
    <col min="6922" max="6932" width="10.44140625" style="4" customWidth="1"/>
    <col min="6933" max="7168" width="8.77734375" style="4"/>
    <col min="7169" max="7169" width="4.33203125" style="4" customWidth="1"/>
    <col min="7170" max="7170" width="12.88671875" style="4" customWidth="1"/>
    <col min="7171" max="7171" width="24.5546875" style="4" customWidth="1"/>
    <col min="7172" max="7172" width="11.33203125" style="4" customWidth="1"/>
    <col min="7173" max="7173" width="17.33203125" style="4" customWidth="1"/>
    <col min="7174" max="7176" width="18.44140625" style="4" bestFit="1" customWidth="1"/>
    <col min="7177" max="7177" width="32.33203125" style="4" customWidth="1"/>
    <col min="7178" max="7188" width="10.44140625" style="4" customWidth="1"/>
    <col min="7189" max="7424" width="8.77734375" style="4"/>
    <col min="7425" max="7425" width="4.33203125" style="4" customWidth="1"/>
    <col min="7426" max="7426" width="12.88671875" style="4" customWidth="1"/>
    <col min="7427" max="7427" width="24.5546875" style="4" customWidth="1"/>
    <col min="7428" max="7428" width="11.33203125" style="4" customWidth="1"/>
    <col min="7429" max="7429" width="17.33203125" style="4" customWidth="1"/>
    <col min="7430" max="7432" width="18.44140625" style="4" bestFit="1" customWidth="1"/>
    <col min="7433" max="7433" width="32.33203125" style="4" customWidth="1"/>
    <col min="7434" max="7444" width="10.44140625" style="4" customWidth="1"/>
    <col min="7445" max="7680" width="8.77734375" style="4"/>
    <col min="7681" max="7681" width="4.33203125" style="4" customWidth="1"/>
    <col min="7682" max="7682" width="12.88671875" style="4" customWidth="1"/>
    <col min="7683" max="7683" width="24.5546875" style="4" customWidth="1"/>
    <col min="7684" max="7684" width="11.33203125" style="4" customWidth="1"/>
    <col min="7685" max="7685" width="17.33203125" style="4" customWidth="1"/>
    <col min="7686" max="7688" width="18.44140625" style="4" bestFit="1" customWidth="1"/>
    <col min="7689" max="7689" width="32.33203125" style="4" customWidth="1"/>
    <col min="7690" max="7700" width="10.44140625" style="4" customWidth="1"/>
    <col min="7701" max="7936" width="8.77734375" style="4"/>
    <col min="7937" max="7937" width="4.33203125" style="4" customWidth="1"/>
    <col min="7938" max="7938" width="12.88671875" style="4" customWidth="1"/>
    <col min="7939" max="7939" width="24.5546875" style="4" customWidth="1"/>
    <col min="7940" max="7940" width="11.33203125" style="4" customWidth="1"/>
    <col min="7941" max="7941" width="17.33203125" style="4" customWidth="1"/>
    <col min="7942" max="7944" width="18.44140625" style="4" bestFit="1" customWidth="1"/>
    <col min="7945" max="7945" width="32.33203125" style="4" customWidth="1"/>
    <col min="7946" max="7956" width="10.44140625" style="4" customWidth="1"/>
    <col min="7957" max="8192" width="8.77734375" style="4"/>
    <col min="8193" max="8193" width="4.33203125" style="4" customWidth="1"/>
    <col min="8194" max="8194" width="12.88671875" style="4" customWidth="1"/>
    <col min="8195" max="8195" width="24.5546875" style="4" customWidth="1"/>
    <col min="8196" max="8196" width="11.33203125" style="4" customWidth="1"/>
    <col min="8197" max="8197" width="17.33203125" style="4" customWidth="1"/>
    <col min="8198" max="8200" width="18.44140625" style="4" bestFit="1" customWidth="1"/>
    <col min="8201" max="8201" width="32.33203125" style="4" customWidth="1"/>
    <col min="8202" max="8212" width="10.44140625" style="4" customWidth="1"/>
    <col min="8213" max="8448" width="8.77734375" style="4"/>
    <col min="8449" max="8449" width="4.33203125" style="4" customWidth="1"/>
    <col min="8450" max="8450" width="12.88671875" style="4" customWidth="1"/>
    <col min="8451" max="8451" width="24.5546875" style="4" customWidth="1"/>
    <col min="8452" max="8452" width="11.33203125" style="4" customWidth="1"/>
    <col min="8453" max="8453" width="17.33203125" style="4" customWidth="1"/>
    <col min="8454" max="8456" width="18.44140625" style="4" bestFit="1" customWidth="1"/>
    <col min="8457" max="8457" width="32.33203125" style="4" customWidth="1"/>
    <col min="8458" max="8468" width="10.44140625" style="4" customWidth="1"/>
    <col min="8469" max="8704" width="8.77734375" style="4"/>
    <col min="8705" max="8705" width="4.33203125" style="4" customWidth="1"/>
    <col min="8706" max="8706" width="12.88671875" style="4" customWidth="1"/>
    <col min="8707" max="8707" width="24.5546875" style="4" customWidth="1"/>
    <col min="8708" max="8708" width="11.33203125" style="4" customWidth="1"/>
    <col min="8709" max="8709" width="17.33203125" style="4" customWidth="1"/>
    <col min="8710" max="8712" width="18.44140625" style="4" bestFit="1" customWidth="1"/>
    <col min="8713" max="8713" width="32.33203125" style="4" customWidth="1"/>
    <col min="8714" max="8724" width="10.44140625" style="4" customWidth="1"/>
    <col min="8725" max="8960" width="8.77734375" style="4"/>
    <col min="8961" max="8961" width="4.33203125" style="4" customWidth="1"/>
    <col min="8962" max="8962" width="12.88671875" style="4" customWidth="1"/>
    <col min="8963" max="8963" width="24.5546875" style="4" customWidth="1"/>
    <col min="8964" max="8964" width="11.33203125" style="4" customWidth="1"/>
    <col min="8965" max="8965" width="17.33203125" style="4" customWidth="1"/>
    <col min="8966" max="8968" width="18.44140625" style="4" bestFit="1" customWidth="1"/>
    <col min="8969" max="8969" width="32.33203125" style="4" customWidth="1"/>
    <col min="8970" max="8980" width="10.44140625" style="4" customWidth="1"/>
    <col min="8981" max="9216" width="8.77734375" style="4"/>
    <col min="9217" max="9217" width="4.33203125" style="4" customWidth="1"/>
    <col min="9218" max="9218" width="12.88671875" style="4" customWidth="1"/>
    <col min="9219" max="9219" width="24.5546875" style="4" customWidth="1"/>
    <col min="9220" max="9220" width="11.33203125" style="4" customWidth="1"/>
    <col min="9221" max="9221" width="17.33203125" style="4" customWidth="1"/>
    <col min="9222" max="9224" width="18.44140625" style="4" bestFit="1" customWidth="1"/>
    <col min="9225" max="9225" width="32.33203125" style="4" customWidth="1"/>
    <col min="9226" max="9236" width="10.44140625" style="4" customWidth="1"/>
    <col min="9237" max="9472" width="8.77734375" style="4"/>
    <col min="9473" max="9473" width="4.33203125" style="4" customWidth="1"/>
    <col min="9474" max="9474" width="12.88671875" style="4" customWidth="1"/>
    <col min="9475" max="9475" width="24.5546875" style="4" customWidth="1"/>
    <col min="9476" max="9476" width="11.33203125" style="4" customWidth="1"/>
    <col min="9477" max="9477" width="17.33203125" style="4" customWidth="1"/>
    <col min="9478" max="9480" width="18.44140625" style="4" bestFit="1" customWidth="1"/>
    <col min="9481" max="9481" width="32.33203125" style="4" customWidth="1"/>
    <col min="9482" max="9492" width="10.44140625" style="4" customWidth="1"/>
    <col min="9493" max="9728" width="8.77734375" style="4"/>
    <col min="9729" max="9729" width="4.33203125" style="4" customWidth="1"/>
    <col min="9730" max="9730" width="12.88671875" style="4" customWidth="1"/>
    <col min="9731" max="9731" width="24.5546875" style="4" customWidth="1"/>
    <col min="9732" max="9732" width="11.33203125" style="4" customWidth="1"/>
    <col min="9733" max="9733" width="17.33203125" style="4" customWidth="1"/>
    <col min="9734" max="9736" width="18.44140625" style="4" bestFit="1" customWidth="1"/>
    <col min="9737" max="9737" width="32.33203125" style="4" customWidth="1"/>
    <col min="9738" max="9748" width="10.44140625" style="4" customWidth="1"/>
    <col min="9749" max="9984" width="8.77734375" style="4"/>
    <col min="9985" max="9985" width="4.33203125" style="4" customWidth="1"/>
    <col min="9986" max="9986" width="12.88671875" style="4" customWidth="1"/>
    <col min="9987" max="9987" width="24.5546875" style="4" customWidth="1"/>
    <col min="9988" max="9988" width="11.33203125" style="4" customWidth="1"/>
    <col min="9989" max="9989" width="17.33203125" style="4" customWidth="1"/>
    <col min="9990" max="9992" width="18.44140625" style="4" bestFit="1" customWidth="1"/>
    <col min="9993" max="9993" width="32.33203125" style="4" customWidth="1"/>
    <col min="9994" max="10004" width="10.44140625" style="4" customWidth="1"/>
    <col min="10005" max="10240" width="8.77734375" style="4"/>
    <col min="10241" max="10241" width="4.33203125" style="4" customWidth="1"/>
    <col min="10242" max="10242" width="12.88671875" style="4" customWidth="1"/>
    <col min="10243" max="10243" width="24.5546875" style="4" customWidth="1"/>
    <col min="10244" max="10244" width="11.33203125" style="4" customWidth="1"/>
    <col min="10245" max="10245" width="17.33203125" style="4" customWidth="1"/>
    <col min="10246" max="10248" width="18.44140625" style="4" bestFit="1" customWidth="1"/>
    <col min="10249" max="10249" width="32.33203125" style="4" customWidth="1"/>
    <col min="10250" max="10260" width="10.44140625" style="4" customWidth="1"/>
    <col min="10261" max="10496" width="8.77734375" style="4"/>
    <col min="10497" max="10497" width="4.33203125" style="4" customWidth="1"/>
    <col min="10498" max="10498" width="12.88671875" style="4" customWidth="1"/>
    <col min="10499" max="10499" width="24.5546875" style="4" customWidth="1"/>
    <col min="10500" max="10500" width="11.33203125" style="4" customWidth="1"/>
    <col min="10501" max="10501" width="17.33203125" style="4" customWidth="1"/>
    <col min="10502" max="10504" width="18.44140625" style="4" bestFit="1" customWidth="1"/>
    <col min="10505" max="10505" width="32.33203125" style="4" customWidth="1"/>
    <col min="10506" max="10516" width="10.44140625" style="4" customWidth="1"/>
    <col min="10517" max="10752" width="8.77734375" style="4"/>
    <col min="10753" max="10753" width="4.33203125" style="4" customWidth="1"/>
    <col min="10754" max="10754" width="12.88671875" style="4" customWidth="1"/>
    <col min="10755" max="10755" width="24.5546875" style="4" customWidth="1"/>
    <col min="10756" max="10756" width="11.33203125" style="4" customWidth="1"/>
    <col min="10757" max="10757" width="17.33203125" style="4" customWidth="1"/>
    <col min="10758" max="10760" width="18.44140625" style="4" bestFit="1" customWidth="1"/>
    <col min="10761" max="10761" width="32.33203125" style="4" customWidth="1"/>
    <col min="10762" max="10772" width="10.44140625" style="4" customWidth="1"/>
    <col min="10773" max="11008" width="8.77734375" style="4"/>
    <col min="11009" max="11009" width="4.33203125" style="4" customWidth="1"/>
    <col min="11010" max="11010" width="12.88671875" style="4" customWidth="1"/>
    <col min="11011" max="11011" width="24.5546875" style="4" customWidth="1"/>
    <col min="11012" max="11012" width="11.33203125" style="4" customWidth="1"/>
    <col min="11013" max="11013" width="17.33203125" style="4" customWidth="1"/>
    <col min="11014" max="11016" width="18.44140625" style="4" bestFit="1" customWidth="1"/>
    <col min="11017" max="11017" width="32.33203125" style="4" customWidth="1"/>
    <col min="11018" max="11028" width="10.44140625" style="4" customWidth="1"/>
    <col min="11029" max="11264" width="8.77734375" style="4"/>
    <col min="11265" max="11265" width="4.33203125" style="4" customWidth="1"/>
    <col min="11266" max="11266" width="12.88671875" style="4" customWidth="1"/>
    <col min="11267" max="11267" width="24.5546875" style="4" customWidth="1"/>
    <col min="11268" max="11268" width="11.33203125" style="4" customWidth="1"/>
    <col min="11269" max="11269" width="17.33203125" style="4" customWidth="1"/>
    <col min="11270" max="11272" width="18.44140625" style="4" bestFit="1" customWidth="1"/>
    <col min="11273" max="11273" width="32.33203125" style="4" customWidth="1"/>
    <col min="11274" max="11284" width="10.44140625" style="4" customWidth="1"/>
    <col min="11285" max="11520" width="8.77734375" style="4"/>
    <col min="11521" max="11521" width="4.33203125" style="4" customWidth="1"/>
    <col min="11522" max="11522" width="12.88671875" style="4" customWidth="1"/>
    <col min="11523" max="11523" width="24.5546875" style="4" customWidth="1"/>
    <col min="11524" max="11524" width="11.33203125" style="4" customWidth="1"/>
    <col min="11525" max="11525" width="17.33203125" style="4" customWidth="1"/>
    <col min="11526" max="11528" width="18.44140625" style="4" bestFit="1" customWidth="1"/>
    <col min="11529" max="11529" width="32.33203125" style="4" customWidth="1"/>
    <col min="11530" max="11540" width="10.44140625" style="4" customWidth="1"/>
    <col min="11541" max="11776" width="8.77734375" style="4"/>
    <col min="11777" max="11777" width="4.33203125" style="4" customWidth="1"/>
    <col min="11778" max="11778" width="12.88671875" style="4" customWidth="1"/>
    <col min="11779" max="11779" width="24.5546875" style="4" customWidth="1"/>
    <col min="11780" max="11780" width="11.33203125" style="4" customWidth="1"/>
    <col min="11781" max="11781" width="17.33203125" style="4" customWidth="1"/>
    <col min="11782" max="11784" width="18.44140625" style="4" bestFit="1" customWidth="1"/>
    <col min="11785" max="11785" width="32.33203125" style="4" customWidth="1"/>
    <col min="11786" max="11796" width="10.44140625" style="4" customWidth="1"/>
    <col min="11797" max="12032" width="8.77734375" style="4"/>
    <col min="12033" max="12033" width="4.33203125" style="4" customWidth="1"/>
    <col min="12034" max="12034" width="12.88671875" style="4" customWidth="1"/>
    <col min="12035" max="12035" width="24.5546875" style="4" customWidth="1"/>
    <col min="12036" max="12036" width="11.33203125" style="4" customWidth="1"/>
    <col min="12037" max="12037" width="17.33203125" style="4" customWidth="1"/>
    <col min="12038" max="12040" width="18.44140625" style="4" bestFit="1" customWidth="1"/>
    <col min="12041" max="12041" width="32.33203125" style="4" customWidth="1"/>
    <col min="12042" max="12052" width="10.44140625" style="4" customWidth="1"/>
    <col min="12053" max="12288" width="8.77734375" style="4"/>
    <col min="12289" max="12289" width="4.33203125" style="4" customWidth="1"/>
    <col min="12290" max="12290" width="12.88671875" style="4" customWidth="1"/>
    <col min="12291" max="12291" width="24.5546875" style="4" customWidth="1"/>
    <col min="12292" max="12292" width="11.33203125" style="4" customWidth="1"/>
    <col min="12293" max="12293" width="17.33203125" style="4" customWidth="1"/>
    <col min="12294" max="12296" width="18.44140625" style="4" bestFit="1" customWidth="1"/>
    <col min="12297" max="12297" width="32.33203125" style="4" customWidth="1"/>
    <col min="12298" max="12308" width="10.44140625" style="4" customWidth="1"/>
    <col min="12309" max="12544" width="8.77734375" style="4"/>
    <col min="12545" max="12545" width="4.33203125" style="4" customWidth="1"/>
    <col min="12546" max="12546" width="12.88671875" style="4" customWidth="1"/>
    <col min="12547" max="12547" width="24.5546875" style="4" customWidth="1"/>
    <col min="12548" max="12548" width="11.33203125" style="4" customWidth="1"/>
    <col min="12549" max="12549" width="17.33203125" style="4" customWidth="1"/>
    <col min="12550" max="12552" width="18.44140625" style="4" bestFit="1" customWidth="1"/>
    <col min="12553" max="12553" width="32.33203125" style="4" customWidth="1"/>
    <col min="12554" max="12564" width="10.44140625" style="4" customWidth="1"/>
    <col min="12565" max="12800" width="8.77734375" style="4"/>
    <col min="12801" max="12801" width="4.33203125" style="4" customWidth="1"/>
    <col min="12802" max="12802" width="12.88671875" style="4" customWidth="1"/>
    <col min="12803" max="12803" width="24.5546875" style="4" customWidth="1"/>
    <col min="12804" max="12804" width="11.33203125" style="4" customWidth="1"/>
    <col min="12805" max="12805" width="17.33203125" style="4" customWidth="1"/>
    <col min="12806" max="12808" width="18.44140625" style="4" bestFit="1" customWidth="1"/>
    <col min="12809" max="12809" width="32.33203125" style="4" customWidth="1"/>
    <col min="12810" max="12820" width="10.44140625" style="4" customWidth="1"/>
    <col min="12821" max="13056" width="8.77734375" style="4"/>
    <col min="13057" max="13057" width="4.33203125" style="4" customWidth="1"/>
    <col min="13058" max="13058" width="12.88671875" style="4" customWidth="1"/>
    <col min="13059" max="13059" width="24.5546875" style="4" customWidth="1"/>
    <col min="13060" max="13060" width="11.33203125" style="4" customWidth="1"/>
    <col min="13061" max="13061" width="17.33203125" style="4" customWidth="1"/>
    <col min="13062" max="13064" width="18.44140625" style="4" bestFit="1" customWidth="1"/>
    <col min="13065" max="13065" width="32.33203125" style="4" customWidth="1"/>
    <col min="13066" max="13076" width="10.44140625" style="4" customWidth="1"/>
    <col min="13077" max="13312" width="8.77734375" style="4"/>
    <col min="13313" max="13313" width="4.33203125" style="4" customWidth="1"/>
    <col min="13314" max="13314" width="12.88671875" style="4" customWidth="1"/>
    <col min="13315" max="13315" width="24.5546875" style="4" customWidth="1"/>
    <col min="13316" max="13316" width="11.33203125" style="4" customWidth="1"/>
    <col min="13317" max="13317" width="17.33203125" style="4" customWidth="1"/>
    <col min="13318" max="13320" width="18.44140625" style="4" bestFit="1" customWidth="1"/>
    <col min="13321" max="13321" width="32.33203125" style="4" customWidth="1"/>
    <col min="13322" max="13332" width="10.44140625" style="4" customWidth="1"/>
    <col min="13333" max="13568" width="8.77734375" style="4"/>
    <col min="13569" max="13569" width="4.33203125" style="4" customWidth="1"/>
    <col min="13570" max="13570" width="12.88671875" style="4" customWidth="1"/>
    <col min="13571" max="13571" width="24.5546875" style="4" customWidth="1"/>
    <col min="13572" max="13572" width="11.33203125" style="4" customWidth="1"/>
    <col min="13573" max="13573" width="17.33203125" style="4" customWidth="1"/>
    <col min="13574" max="13576" width="18.44140625" style="4" bestFit="1" customWidth="1"/>
    <col min="13577" max="13577" width="32.33203125" style="4" customWidth="1"/>
    <col min="13578" max="13588" width="10.44140625" style="4" customWidth="1"/>
    <col min="13589" max="13824" width="8.77734375" style="4"/>
    <col min="13825" max="13825" width="4.33203125" style="4" customWidth="1"/>
    <col min="13826" max="13826" width="12.88671875" style="4" customWidth="1"/>
    <col min="13827" max="13827" width="24.5546875" style="4" customWidth="1"/>
    <col min="13828" max="13828" width="11.33203125" style="4" customWidth="1"/>
    <col min="13829" max="13829" width="17.33203125" style="4" customWidth="1"/>
    <col min="13830" max="13832" width="18.44140625" style="4" bestFit="1" customWidth="1"/>
    <col min="13833" max="13833" width="32.33203125" style="4" customWidth="1"/>
    <col min="13834" max="13844" width="10.44140625" style="4" customWidth="1"/>
    <col min="13845" max="14080" width="8.77734375" style="4"/>
    <col min="14081" max="14081" width="4.33203125" style="4" customWidth="1"/>
    <col min="14082" max="14082" width="12.88671875" style="4" customWidth="1"/>
    <col min="14083" max="14083" width="24.5546875" style="4" customWidth="1"/>
    <col min="14084" max="14084" width="11.33203125" style="4" customWidth="1"/>
    <col min="14085" max="14085" width="17.33203125" style="4" customWidth="1"/>
    <col min="14086" max="14088" width="18.44140625" style="4" bestFit="1" customWidth="1"/>
    <col min="14089" max="14089" width="32.33203125" style="4" customWidth="1"/>
    <col min="14090" max="14100" width="10.44140625" style="4" customWidth="1"/>
    <col min="14101" max="14336" width="8.77734375" style="4"/>
    <col min="14337" max="14337" width="4.33203125" style="4" customWidth="1"/>
    <col min="14338" max="14338" width="12.88671875" style="4" customWidth="1"/>
    <col min="14339" max="14339" width="24.5546875" style="4" customWidth="1"/>
    <col min="14340" max="14340" width="11.33203125" style="4" customWidth="1"/>
    <col min="14341" max="14341" width="17.33203125" style="4" customWidth="1"/>
    <col min="14342" max="14344" width="18.44140625" style="4" bestFit="1" customWidth="1"/>
    <col min="14345" max="14345" width="32.33203125" style="4" customWidth="1"/>
    <col min="14346" max="14356" width="10.44140625" style="4" customWidth="1"/>
    <col min="14357" max="14592" width="8.77734375" style="4"/>
    <col min="14593" max="14593" width="4.33203125" style="4" customWidth="1"/>
    <col min="14594" max="14594" width="12.88671875" style="4" customWidth="1"/>
    <col min="14595" max="14595" width="24.5546875" style="4" customWidth="1"/>
    <col min="14596" max="14596" width="11.33203125" style="4" customWidth="1"/>
    <col min="14597" max="14597" width="17.33203125" style="4" customWidth="1"/>
    <col min="14598" max="14600" width="18.44140625" style="4" bestFit="1" customWidth="1"/>
    <col min="14601" max="14601" width="32.33203125" style="4" customWidth="1"/>
    <col min="14602" max="14612" width="10.44140625" style="4" customWidth="1"/>
    <col min="14613" max="14848" width="8.77734375" style="4"/>
    <col min="14849" max="14849" width="4.33203125" style="4" customWidth="1"/>
    <col min="14850" max="14850" width="12.88671875" style="4" customWidth="1"/>
    <col min="14851" max="14851" width="24.5546875" style="4" customWidth="1"/>
    <col min="14852" max="14852" width="11.33203125" style="4" customWidth="1"/>
    <col min="14853" max="14853" width="17.33203125" style="4" customWidth="1"/>
    <col min="14854" max="14856" width="18.44140625" style="4" bestFit="1" customWidth="1"/>
    <col min="14857" max="14857" width="32.33203125" style="4" customWidth="1"/>
    <col min="14858" max="14868" width="10.44140625" style="4" customWidth="1"/>
    <col min="14869" max="15104" width="8.77734375" style="4"/>
    <col min="15105" max="15105" width="4.33203125" style="4" customWidth="1"/>
    <col min="15106" max="15106" width="12.88671875" style="4" customWidth="1"/>
    <col min="15107" max="15107" width="24.5546875" style="4" customWidth="1"/>
    <col min="15108" max="15108" width="11.33203125" style="4" customWidth="1"/>
    <col min="15109" max="15109" width="17.33203125" style="4" customWidth="1"/>
    <col min="15110" max="15112" width="18.44140625" style="4" bestFit="1" customWidth="1"/>
    <col min="15113" max="15113" width="32.33203125" style="4" customWidth="1"/>
    <col min="15114" max="15124" width="10.44140625" style="4" customWidth="1"/>
    <col min="15125" max="15360" width="8.77734375" style="4"/>
    <col min="15361" max="15361" width="4.33203125" style="4" customWidth="1"/>
    <col min="15362" max="15362" width="12.88671875" style="4" customWidth="1"/>
    <col min="15363" max="15363" width="24.5546875" style="4" customWidth="1"/>
    <col min="15364" max="15364" width="11.33203125" style="4" customWidth="1"/>
    <col min="15365" max="15365" width="17.33203125" style="4" customWidth="1"/>
    <col min="15366" max="15368" width="18.44140625" style="4" bestFit="1" customWidth="1"/>
    <col min="15369" max="15369" width="32.33203125" style="4" customWidth="1"/>
    <col min="15370" max="15380" width="10.44140625" style="4" customWidth="1"/>
    <col min="15381" max="15616" width="8.77734375" style="4"/>
    <col min="15617" max="15617" width="4.33203125" style="4" customWidth="1"/>
    <col min="15618" max="15618" width="12.88671875" style="4" customWidth="1"/>
    <col min="15619" max="15619" width="24.5546875" style="4" customWidth="1"/>
    <col min="15620" max="15620" width="11.33203125" style="4" customWidth="1"/>
    <col min="15621" max="15621" width="17.33203125" style="4" customWidth="1"/>
    <col min="15622" max="15624" width="18.44140625" style="4" bestFit="1" customWidth="1"/>
    <col min="15625" max="15625" width="32.33203125" style="4" customWidth="1"/>
    <col min="15626" max="15636" width="10.44140625" style="4" customWidth="1"/>
    <col min="15637" max="15872" width="8.77734375" style="4"/>
    <col min="15873" max="15873" width="4.33203125" style="4" customWidth="1"/>
    <col min="15874" max="15874" width="12.88671875" style="4" customWidth="1"/>
    <col min="15875" max="15875" width="24.5546875" style="4" customWidth="1"/>
    <col min="15876" max="15876" width="11.33203125" style="4" customWidth="1"/>
    <col min="15877" max="15877" width="17.33203125" style="4" customWidth="1"/>
    <col min="15878" max="15880" width="18.44140625" style="4" bestFit="1" customWidth="1"/>
    <col min="15881" max="15881" width="32.33203125" style="4" customWidth="1"/>
    <col min="15882" max="15892" width="10.44140625" style="4" customWidth="1"/>
    <col min="15893" max="16128" width="8.77734375" style="4"/>
    <col min="16129" max="16129" width="4.33203125" style="4" customWidth="1"/>
    <col min="16130" max="16130" width="12.88671875" style="4" customWidth="1"/>
    <col min="16131" max="16131" width="24.5546875" style="4" customWidth="1"/>
    <col min="16132" max="16132" width="11.33203125" style="4" customWidth="1"/>
    <col min="16133" max="16133" width="17.33203125" style="4" customWidth="1"/>
    <col min="16134" max="16136" width="18.44140625" style="4" bestFit="1" customWidth="1"/>
    <col min="16137" max="16137" width="32.33203125" style="4" customWidth="1"/>
    <col min="16138" max="16148" width="10.44140625" style="4" customWidth="1"/>
    <col min="16149" max="16384" width="8.77734375" style="4"/>
  </cols>
  <sheetData>
    <row r="1" spans="1:25" s="2" customFormat="1" ht="11.25" x14ac:dyDescent="0.2">
      <c r="A1" s="240" t="s">
        <v>212</v>
      </c>
      <c r="B1" s="240"/>
      <c r="C1" s="240"/>
      <c r="D1" s="240"/>
      <c r="E1" s="240"/>
      <c r="F1" s="240"/>
      <c r="G1" s="240"/>
      <c r="H1" s="240"/>
      <c r="I1" s="240"/>
      <c r="J1" s="240"/>
      <c r="K1" s="240"/>
      <c r="L1" s="240"/>
      <c r="M1" s="240"/>
      <c r="N1" s="240"/>
      <c r="O1" s="240"/>
      <c r="P1" s="240"/>
      <c r="Q1" s="240"/>
      <c r="R1" s="240"/>
      <c r="S1" s="1"/>
      <c r="T1" s="1"/>
      <c r="U1" s="1"/>
      <c r="V1" s="1"/>
      <c r="W1" s="1"/>
      <c r="X1" s="1"/>
      <c r="Y1" s="1"/>
    </row>
    <row r="2" spans="1:25" ht="21" x14ac:dyDescent="0.35">
      <c r="A2" s="241" t="s">
        <v>213</v>
      </c>
      <c r="B2" s="241"/>
      <c r="C2" s="241"/>
      <c r="D2" s="241"/>
      <c r="E2" s="241"/>
      <c r="F2" s="241"/>
    </row>
    <row r="3" spans="1:25" x14ac:dyDescent="0.2">
      <c r="A3" s="5" t="s">
        <v>214</v>
      </c>
    </row>
    <row r="4" spans="1:25" s="8" customFormat="1" ht="7.5" thickBot="1" x14ac:dyDescent="0.2">
      <c r="A4" s="6"/>
      <c r="B4" s="6"/>
      <c r="C4" s="6"/>
      <c r="D4" s="6"/>
      <c r="E4" s="6"/>
      <c r="F4" s="6"/>
      <c r="G4" s="7"/>
      <c r="H4" s="7"/>
      <c r="I4" s="7"/>
      <c r="J4" s="6"/>
      <c r="K4" s="6"/>
      <c r="L4" s="6"/>
      <c r="M4" s="6"/>
      <c r="N4" s="6"/>
      <c r="O4" s="6"/>
      <c r="P4" s="6"/>
      <c r="Q4" s="6"/>
      <c r="R4" s="6"/>
      <c r="S4" s="6"/>
      <c r="T4" s="6"/>
      <c r="U4" s="6"/>
      <c r="V4" s="6"/>
      <c r="W4" s="6"/>
      <c r="X4" s="6"/>
      <c r="Y4" s="6"/>
    </row>
    <row r="5" spans="1:25" ht="31.35" customHeight="1" thickTop="1" x14ac:dyDescent="0.2">
      <c r="B5" s="9" t="s">
        <v>215</v>
      </c>
      <c r="C5" s="10" t="s">
        <v>213</v>
      </c>
      <c r="D5" s="9" t="s">
        <v>216</v>
      </c>
      <c r="E5" s="11">
        <v>45085</v>
      </c>
      <c r="F5" s="12" t="s">
        <v>217</v>
      </c>
      <c r="G5" s="11" t="s">
        <v>218</v>
      </c>
    </row>
    <row r="6" spans="1:25" ht="14.25" thickBot="1" x14ac:dyDescent="0.3">
      <c r="B6" s="13" t="s">
        <v>219</v>
      </c>
      <c r="C6" s="14" t="s">
        <v>220</v>
      </c>
      <c r="D6" s="15" t="s">
        <v>221</v>
      </c>
      <c r="E6" s="16">
        <v>2</v>
      </c>
      <c r="F6" s="15" t="s">
        <v>222</v>
      </c>
      <c r="G6" s="17">
        <v>2022</v>
      </c>
    </row>
    <row r="7" spans="1:25" ht="14.25" thickTop="1" thickBot="1" x14ac:dyDescent="0.25"/>
    <row r="8" spans="1:25" ht="16.5" thickTop="1" thickBot="1" x14ac:dyDescent="0.3">
      <c r="B8" s="242" t="s">
        <v>223</v>
      </c>
      <c r="C8" s="243"/>
      <c r="D8" s="243"/>
      <c r="E8" s="243"/>
      <c r="F8" s="243"/>
      <c r="G8" s="243"/>
      <c r="H8" s="243"/>
      <c r="I8" s="243"/>
      <c r="J8" s="243"/>
      <c r="K8" s="243"/>
      <c r="L8" s="243"/>
      <c r="M8" s="244"/>
      <c r="N8" s="18"/>
    </row>
    <row r="9" spans="1:25" ht="15.75" thickTop="1" x14ac:dyDescent="0.25">
      <c r="B9" s="19"/>
      <c r="C9" s="19"/>
      <c r="D9" s="19"/>
      <c r="E9" s="19"/>
      <c r="F9" s="19"/>
      <c r="G9" s="19"/>
      <c r="H9" s="19"/>
      <c r="I9" s="20"/>
      <c r="J9" s="20"/>
      <c r="K9" s="20"/>
      <c r="L9" s="20"/>
      <c r="M9" s="20"/>
      <c r="N9" s="18"/>
    </row>
    <row r="10" spans="1:25" ht="15.75" x14ac:dyDescent="0.25">
      <c r="B10" s="245" t="s">
        <v>224</v>
      </c>
      <c r="C10" s="245"/>
      <c r="D10" s="245"/>
      <c r="E10" s="245"/>
      <c r="F10" s="245"/>
      <c r="G10" s="245"/>
      <c r="H10" s="245"/>
      <c r="I10" s="245"/>
      <c r="J10" s="245"/>
      <c r="K10" s="245"/>
      <c r="L10" s="245"/>
      <c r="M10" s="245"/>
      <c r="N10" s="18"/>
    </row>
    <row r="11" spans="1:25" ht="17.25" customHeight="1" x14ac:dyDescent="0.2">
      <c r="B11" s="239" t="s">
        <v>225</v>
      </c>
      <c r="C11" s="239"/>
      <c r="D11" s="239"/>
      <c r="E11" s="239"/>
      <c r="F11" s="239"/>
      <c r="G11" s="239"/>
      <c r="H11" s="239"/>
      <c r="I11" s="239"/>
      <c r="J11" s="239"/>
      <c r="K11" s="239"/>
      <c r="L11" s="239"/>
      <c r="M11" s="239"/>
      <c r="N11" s="21"/>
    </row>
    <row r="12" spans="1:25" ht="96.75" customHeight="1" x14ac:dyDescent="0.2">
      <c r="B12" s="239" t="s">
        <v>226</v>
      </c>
      <c r="C12" s="239"/>
      <c r="D12" s="239"/>
      <c r="E12" s="239"/>
      <c r="F12" s="239"/>
      <c r="G12" s="239"/>
      <c r="H12" s="239"/>
      <c r="I12" s="239"/>
      <c r="J12" s="239"/>
      <c r="K12" s="239"/>
      <c r="L12" s="239"/>
      <c r="M12" s="239"/>
      <c r="N12" s="246"/>
      <c r="O12" s="247"/>
      <c r="P12" s="247"/>
      <c r="Q12" s="247"/>
      <c r="R12" s="247"/>
      <c r="S12" s="247"/>
      <c r="T12" s="247"/>
      <c r="U12" s="247"/>
      <c r="V12" s="247"/>
      <c r="W12" s="247"/>
      <c r="X12" s="247"/>
      <c r="Y12" s="247"/>
    </row>
    <row r="13" spans="1:25" ht="28.35" customHeight="1" x14ac:dyDescent="0.2">
      <c r="B13" s="239" t="s">
        <v>227</v>
      </c>
      <c r="C13" s="239"/>
      <c r="D13" s="239"/>
      <c r="E13" s="239"/>
      <c r="F13" s="239"/>
      <c r="G13" s="239"/>
      <c r="H13" s="239"/>
      <c r="I13" s="239"/>
      <c r="J13" s="239"/>
      <c r="K13" s="239"/>
      <c r="L13" s="239"/>
      <c r="M13" s="239"/>
      <c r="N13" s="21"/>
    </row>
    <row r="14" spans="1:25" ht="15.75" x14ac:dyDescent="0.25">
      <c r="B14" s="248" t="s">
        <v>228</v>
      </c>
      <c r="C14" s="249"/>
      <c r="D14" s="249"/>
      <c r="E14" s="249"/>
      <c r="F14" s="249"/>
      <c r="G14" s="249"/>
      <c r="H14" s="249"/>
      <c r="I14" s="249"/>
      <c r="J14" s="249"/>
      <c r="K14" s="249"/>
      <c r="L14" s="249"/>
      <c r="M14" s="249"/>
      <c r="N14" s="18"/>
    </row>
    <row r="15" spans="1:25" ht="15" customHeight="1" x14ac:dyDescent="0.25">
      <c r="B15" s="239" t="s">
        <v>229</v>
      </c>
      <c r="C15" s="239"/>
      <c r="D15" s="239"/>
      <c r="E15" s="239"/>
      <c r="F15" s="239"/>
      <c r="G15" s="239"/>
      <c r="H15" s="239"/>
      <c r="I15" s="239"/>
      <c r="J15" s="239"/>
      <c r="K15" s="239"/>
      <c r="L15" s="239"/>
      <c r="M15" s="239"/>
      <c r="N15" s="18"/>
    </row>
    <row r="16" spans="1:25" ht="22.35" customHeight="1" x14ac:dyDescent="0.25">
      <c r="B16" s="239" t="s">
        <v>230</v>
      </c>
      <c r="C16" s="239"/>
      <c r="D16" s="239"/>
      <c r="E16" s="239"/>
      <c r="F16" s="239"/>
      <c r="G16" s="239"/>
      <c r="H16" s="239"/>
      <c r="I16" s="239"/>
      <c r="J16" s="239"/>
      <c r="K16" s="239"/>
      <c r="L16" s="239"/>
      <c r="M16" s="239"/>
      <c r="N16" s="18"/>
    </row>
    <row r="17" spans="2:14" s="3" customFormat="1" ht="45" customHeight="1" x14ac:dyDescent="0.25">
      <c r="B17" s="239" t="s">
        <v>231</v>
      </c>
      <c r="C17" s="239"/>
      <c r="D17" s="239"/>
      <c r="E17" s="239"/>
      <c r="F17" s="239"/>
      <c r="G17" s="239"/>
      <c r="H17" s="239"/>
      <c r="I17" s="239"/>
      <c r="J17" s="239"/>
      <c r="K17" s="239"/>
      <c r="L17" s="239"/>
      <c r="M17" s="239"/>
      <c r="N17" s="18"/>
    </row>
    <row r="18" spans="2:14" s="3" customFormat="1" ht="39" customHeight="1" x14ac:dyDescent="0.25">
      <c r="B18" s="239" t="s">
        <v>232</v>
      </c>
      <c r="C18" s="239"/>
      <c r="D18" s="239"/>
      <c r="E18" s="239"/>
      <c r="F18" s="239"/>
      <c r="G18" s="239"/>
      <c r="H18" s="239"/>
      <c r="I18" s="239"/>
      <c r="J18" s="239"/>
      <c r="K18" s="239"/>
      <c r="L18" s="239"/>
      <c r="M18" s="239"/>
      <c r="N18" s="18"/>
    </row>
    <row r="19" spans="2:14" s="3" customFormat="1" ht="51.75" customHeight="1" x14ac:dyDescent="0.25">
      <c r="B19" s="239" t="s">
        <v>233</v>
      </c>
      <c r="C19" s="239"/>
      <c r="D19" s="239"/>
      <c r="E19" s="239"/>
      <c r="F19" s="239"/>
      <c r="G19" s="239"/>
      <c r="H19" s="239"/>
      <c r="I19" s="239"/>
      <c r="J19" s="239"/>
      <c r="K19" s="239"/>
      <c r="L19" s="239"/>
      <c r="M19" s="239"/>
      <c r="N19" s="18"/>
    </row>
    <row r="20" spans="2:14" s="3" customFormat="1" ht="32.25" customHeight="1" x14ac:dyDescent="0.25">
      <c r="B20" s="250" t="s">
        <v>234</v>
      </c>
      <c r="C20" s="250"/>
      <c r="D20" s="250"/>
      <c r="E20" s="250"/>
      <c r="F20" s="250"/>
      <c r="G20" s="250"/>
      <c r="H20" s="250"/>
      <c r="I20" s="250"/>
      <c r="J20" s="250"/>
      <c r="K20" s="250"/>
      <c r="L20" s="250"/>
      <c r="M20" s="250"/>
      <c r="N20" s="18"/>
    </row>
    <row r="21" spans="2:14" s="3" customFormat="1" ht="15" x14ac:dyDescent="0.25">
      <c r="B21" s="20"/>
      <c r="C21" s="20"/>
      <c r="D21" s="20"/>
      <c r="E21" s="20"/>
      <c r="F21" s="20"/>
      <c r="G21" s="20"/>
      <c r="H21" s="20"/>
      <c r="I21" s="20"/>
      <c r="J21" s="20"/>
      <c r="K21" s="20"/>
      <c r="L21" s="20"/>
      <c r="M21" s="20"/>
      <c r="N21" s="18"/>
    </row>
    <row r="22" spans="2:14" s="3" customFormat="1" ht="21" customHeight="1" x14ac:dyDescent="0.35">
      <c r="B22" s="22" t="s">
        <v>235</v>
      </c>
      <c r="C22" s="22" t="s">
        <v>236</v>
      </c>
      <c r="D22" s="22" t="s">
        <v>237</v>
      </c>
      <c r="E22" s="23" t="s">
        <v>238</v>
      </c>
      <c r="F22" s="23" t="s">
        <v>239</v>
      </c>
      <c r="G22" s="24" t="s">
        <v>240</v>
      </c>
      <c r="H22" s="24" t="s">
        <v>241</v>
      </c>
      <c r="I22" s="25"/>
      <c r="J22" s="20"/>
      <c r="K22" s="20"/>
      <c r="L22" s="20"/>
      <c r="M22" s="20"/>
      <c r="N22" s="18"/>
    </row>
    <row r="23" spans="2:14" s="3" customFormat="1" ht="15" x14ac:dyDescent="0.25">
      <c r="B23" s="266" t="s">
        <v>242</v>
      </c>
      <c r="C23" s="254" t="s">
        <v>243</v>
      </c>
      <c r="D23" s="23" t="s">
        <v>244</v>
      </c>
      <c r="E23" s="26">
        <v>3033.32</v>
      </c>
      <c r="F23" s="26">
        <v>3029.26</v>
      </c>
      <c r="G23" s="26">
        <v>2.25</v>
      </c>
      <c r="H23" s="26">
        <v>1.8</v>
      </c>
      <c r="I23" s="27"/>
      <c r="J23" s="20"/>
      <c r="K23" s="20"/>
      <c r="L23" s="20"/>
      <c r="M23" s="20"/>
      <c r="N23" s="18"/>
    </row>
    <row r="24" spans="2:14" s="3" customFormat="1" ht="15" x14ac:dyDescent="0.25">
      <c r="B24" s="267"/>
      <c r="C24" s="255"/>
      <c r="D24" s="23" t="s">
        <v>245</v>
      </c>
      <c r="E24" s="26">
        <v>1.74529</v>
      </c>
      <c r="F24" s="26">
        <v>1.7429600000000001</v>
      </c>
      <c r="G24" s="26">
        <v>1.2899999999999999E-3</v>
      </c>
      <c r="H24" s="26">
        <v>1.0399999999999999E-3</v>
      </c>
      <c r="I24" s="27"/>
      <c r="J24" s="28"/>
      <c r="K24" s="20"/>
      <c r="L24" s="20"/>
      <c r="M24" s="20"/>
      <c r="N24" s="18"/>
    </row>
    <row r="25" spans="2:14" s="3" customFormat="1" ht="15" x14ac:dyDescent="0.25">
      <c r="B25" s="267"/>
      <c r="C25" s="255"/>
      <c r="D25" s="23" t="s">
        <v>246</v>
      </c>
      <c r="E25" s="26">
        <v>0.24106</v>
      </c>
      <c r="F25" s="26">
        <v>0.24074000000000001</v>
      </c>
      <c r="G25" s="26">
        <v>1.8000000000000001E-4</v>
      </c>
      <c r="H25" s="26">
        <v>1.3999999999999999E-4</v>
      </c>
      <c r="I25" s="27"/>
      <c r="J25" s="20"/>
      <c r="K25" s="20"/>
      <c r="L25" s="20"/>
      <c r="M25" s="20"/>
      <c r="N25" s="18"/>
    </row>
    <row r="26" spans="2:14" s="3" customFormat="1" ht="15" x14ac:dyDescent="0.25">
      <c r="B26" s="267"/>
      <c r="C26" s="256"/>
      <c r="D26" s="23" t="s">
        <v>247</v>
      </c>
      <c r="E26" s="26">
        <v>0.22239999999999999</v>
      </c>
      <c r="F26" s="26">
        <v>0.22209999999999999</v>
      </c>
      <c r="G26" s="26">
        <v>1.7000000000000001E-4</v>
      </c>
      <c r="H26" s="26">
        <v>1.2999999999999999E-4</v>
      </c>
      <c r="I26" s="27"/>
      <c r="J26" s="20"/>
      <c r="K26" s="20"/>
      <c r="L26" s="20"/>
      <c r="M26" s="20"/>
      <c r="N26" s="18"/>
    </row>
    <row r="27" spans="2:14" s="3" customFormat="1" ht="15" x14ac:dyDescent="0.25">
      <c r="B27" s="267"/>
      <c r="C27" s="254" t="s">
        <v>248</v>
      </c>
      <c r="D27" s="23" t="s">
        <v>244</v>
      </c>
      <c r="E27" s="26">
        <v>2539.25</v>
      </c>
      <c r="F27" s="26">
        <v>2534.4699999999998</v>
      </c>
      <c r="G27" s="26">
        <v>3.44</v>
      </c>
      <c r="H27" s="26">
        <v>1.34</v>
      </c>
      <c r="I27" s="27"/>
    </row>
    <row r="28" spans="2:14" s="3" customFormat="1" ht="15" x14ac:dyDescent="0.25">
      <c r="B28" s="267"/>
      <c r="C28" s="255"/>
      <c r="D28" s="23" t="s">
        <v>245</v>
      </c>
      <c r="E28" s="26">
        <v>0.44435999999999998</v>
      </c>
      <c r="F28" s="29">
        <v>0.44352999999999998</v>
      </c>
      <c r="G28" s="29">
        <v>5.9999999999999995E-4</v>
      </c>
      <c r="H28" s="29">
        <v>2.3000000000000001E-4</v>
      </c>
      <c r="I28" s="27"/>
    </row>
    <row r="29" spans="2:14" s="3" customFormat="1" ht="15" x14ac:dyDescent="0.25">
      <c r="B29" s="267"/>
      <c r="C29" s="255"/>
      <c r="D29" s="23" t="s">
        <v>246</v>
      </c>
      <c r="E29" s="26">
        <v>0.20227000000000001</v>
      </c>
      <c r="F29" s="29">
        <v>0.20188</v>
      </c>
      <c r="G29" s="29">
        <v>2.7999999999999998E-4</v>
      </c>
      <c r="H29" s="29">
        <v>1.1E-4</v>
      </c>
      <c r="I29" s="27"/>
    </row>
    <row r="30" spans="2:14" s="3" customFormat="1" ht="15" x14ac:dyDescent="0.25">
      <c r="B30" s="267"/>
      <c r="C30" s="256"/>
      <c r="D30" s="23" t="s">
        <v>247</v>
      </c>
      <c r="E30" s="26">
        <v>0.18253999999999998</v>
      </c>
      <c r="F30" s="29">
        <v>0.18218999999999999</v>
      </c>
      <c r="G30" s="29">
        <v>2.5000000000000001E-4</v>
      </c>
      <c r="H30" s="29">
        <v>1E-4</v>
      </c>
      <c r="I30" s="27"/>
    </row>
    <row r="31" spans="2:14" s="3" customFormat="1" ht="15" x14ac:dyDescent="0.25">
      <c r="B31" s="267"/>
      <c r="C31" s="254" t="s">
        <v>249</v>
      </c>
      <c r="D31" s="23" t="s">
        <v>244</v>
      </c>
      <c r="E31" s="26">
        <v>2559.17</v>
      </c>
      <c r="F31" s="26">
        <v>2554.39</v>
      </c>
      <c r="G31" s="26">
        <v>3.44</v>
      </c>
      <c r="H31" s="26">
        <v>1.34</v>
      </c>
      <c r="I31" s="27"/>
    </row>
    <row r="32" spans="2:14" s="3" customFormat="1" ht="15" x14ac:dyDescent="0.25">
      <c r="B32" s="267"/>
      <c r="C32" s="255"/>
      <c r="D32" s="23" t="s">
        <v>245</v>
      </c>
      <c r="E32" s="26">
        <v>1.1579999999999999</v>
      </c>
      <c r="F32" s="29">
        <v>1.1558299999999999</v>
      </c>
      <c r="G32" s="29">
        <v>1.56E-3</v>
      </c>
      <c r="H32" s="29">
        <v>6.0999999999999997E-4</v>
      </c>
      <c r="I32" s="27"/>
    </row>
    <row r="33" spans="2:9" s="3" customFormat="1" ht="15" x14ac:dyDescent="0.25">
      <c r="B33" s="267"/>
      <c r="C33" s="255"/>
      <c r="D33" s="23" t="s">
        <v>246</v>
      </c>
      <c r="E33" s="26">
        <v>0.20386000000000001</v>
      </c>
      <c r="F33" s="30">
        <v>0.20347000000000001</v>
      </c>
      <c r="G33" s="29">
        <v>2.7999999999999998E-4</v>
      </c>
      <c r="H33" s="29">
        <v>1.1E-4</v>
      </c>
      <c r="I33" s="27"/>
    </row>
    <row r="34" spans="2:9" s="3" customFormat="1" ht="15" x14ac:dyDescent="0.25">
      <c r="B34" s="267"/>
      <c r="C34" s="256"/>
      <c r="D34" s="23" t="s">
        <v>247</v>
      </c>
      <c r="E34" s="26">
        <v>0.18396999999999999</v>
      </c>
      <c r="F34" s="29">
        <v>0.18362000000000001</v>
      </c>
      <c r="G34" s="29">
        <v>2.5000000000000001E-4</v>
      </c>
      <c r="H34" s="29">
        <v>1E-4</v>
      </c>
      <c r="I34" s="27"/>
    </row>
    <row r="35" spans="2:9" s="3" customFormat="1" ht="15" x14ac:dyDescent="0.25">
      <c r="B35" s="267"/>
      <c r="C35" s="251" t="s">
        <v>18</v>
      </c>
      <c r="D35" s="23" t="s">
        <v>244</v>
      </c>
      <c r="E35" s="26">
        <v>2939.29</v>
      </c>
      <c r="F35" s="26">
        <v>2935.18</v>
      </c>
      <c r="G35" s="26">
        <v>2.2799999999999998</v>
      </c>
      <c r="H35" s="26">
        <v>1.83</v>
      </c>
      <c r="I35" s="27"/>
    </row>
    <row r="36" spans="2:9" s="3" customFormat="1" ht="15" x14ac:dyDescent="0.25">
      <c r="B36" s="267"/>
      <c r="C36" s="252"/>
      <c r="D36" s="23" t="s">
        <v>245</v>
      </c>
      <c r="E36" s="26">
        <v>1.5570900000000001</v>
      </c>
      <c r="F36" s="29">
        <v>1.55491</v>
      </c>
      <c r="G36" s="29">
        <v>1.2099999999999999E-3</v>
      </c>
      <c r="H36" s="29">
        <v>9.7000000000000005E-4</v>
      </c>
      <c r="I36" s="27"/>
    </row>
    <row r="37" spans="2:9" s="3" customFormat="1" ht="15" x14ac:dyDescent="0.25">
      <c r="B37" s="267"/>
      <c r="C37" s="252"/>
      <c r="D37" s="23" t="s">
        <v>246</v>
      </c>
      <c r="E37" s="26">
        <v>0.23030999999999999</v>
      </c>
      <c r="F37" s="29">
        <v>0.22999</v>
      </c>
      <c r="G37" s="29">
        <v>1.8000000000000001E-4</v>
      </c>
      <c r="H37" s="29">
        <v>1.3999999999999999E-4</v>
      </c>
      <c r="I37" s="27"/>
    </row>
    <row r="38" spans="2:9" s="3" customFormat="1" ht="15" x14ac:dyDescent="0.25">
      <c r="B38" s="267"/>
      <c r="C38" s="253"/>
      <c r="D38" s="23" t="s">
        <v>247</v>
      </c>
      <c r="E38" s="26">
        <v>0.21448999999999999</v>
      </c>
      <c r="F38" s="79">
        <v>0.21418999999999999</v>
      </c>
      <c r="G38" s="29">
        <v>1.7000000000000001E-4</v>
      </c>
      <c r="H38" s="29">
        <v>1.2999999999999999E-4</v>
      </c>
      <c r="I38" s="27"/>
    </row>
    <row r="39" spans="2:9" s="3" customFormat="1" ht="15" x14ac:dyDescent="0.25">
      <c r="B39" s="267"/>
      <c r="C39" s="251" t="s">
        <v>250</v>
      </c>
      <c r="D39" s="23" t="s">
        <v>244</v>
      </c>
      <c r="E39" s="26">
        <v>2539.25</v>
      </c>
      <c r="F39" s="26">
        <v>2534.4699999999998</v>
      </c>
      <c r="G39" s="26">
        <v>3.44</v>
      </c>
      <c r="H39" s="26">
        <v>1.34</v>
      </c>
      <c r="I39" s="27"/>
    </row>
    <row r="40" spans="2:9" s="3" customFormat="1" ht="15" x14ac:dyDescent="0.25">
      <c r="B40" s="267"/>
      <c r="C40" s="252"/>
      <c r="D40" s="23" t="s">
        <v>251</v>
      </c>
      <c r="E40" s="26">
        <v>2.0157400000000001</v>
      </c>
      <c r="F40" s="29">
        <v>2.01193</v>
      </c>
      <c r="G40" s="29">
        <v>2.7399999999999998E-3</v>
      </c>
      <c r="H40" s="29">
        <v>1.07E-3</v>
      </c>
      <c r="I40" s="27"/>
    </row>
    <row r="41" spans="2:9" s="3" customFormat="1" ht="15" x14ac:dyDescent="0.25">
      <c r="B41" s="267"/>
      <c r="C41" s="252"/>
      <c r="D41" s="23" t="s">
        <v>246</v>
      </c>
      <c r="E41" s="26">
        <v>0.20227000000000001</v>
      </c>
      <c r="F41" s="29">
        <v>0.20188</v>
      </c>
      <c r="G41" s="29">
        <v>2.7999999999999998E-4</v>
      </c>
      <c r="H41" s="29">
        <v>1.1E-4</v>
      </c>
      <c r="I41" s="27"/>
    </row>
    <row r="42" spans="2:9" s="3" customFormat="1" ht="15" x14ac:dyDescent="0.25">
      <c r="B42" s="267"/>
      <c r="C42" s="253"/>
      <c r="D42" s="23" t="s">
        <v>247</v>
      </c>
      <c r="E42" s="26">
        <v>0.18253999999999998</v>
      </c>
      <c r="F42" s="79">
        <v>0.18218999999999999</v>
      </c>
      <c r="G42" s="29">
        <v>2.5000000000000001E-4</v>
      </c>
      <c r="H42" s="29">
        <v>1E-4</v>
      </c>
      <c r="I42" s="27"/>
    </row>
    <row r="43" spans="2:9" s="3" customFormat="1" ht="15" x14ac:dyDescent="0.25">
      <c r="B43" s="267"/>
      <c r="C43" s="254" t="s">
        <v>252</v>
      </c>
      <c r="D43" s="23" t="s">
        <v>244</v>
      </c>
      <c r="E43" s="26">
        <v>2559.17</v>
      </c>
      <c r="F43" s="26">
        <v>2554.39</v>
      </c>
      <c r="G43" s="26">
        <v>3.44</v>
      </c>
      <c r="H43" s="26">
        <v>1.34</v>
      </c>
      <c r="I43" s="27"/>
    </row>
    <row r="44" spans="2:9" s="3" customFormat="1" ht="15" x14ac:dyDescent="0.25">
      <c r="B44" s="267"/>
      <c r="C44" s="255"/>
      <c r="D44" s="23" t="s">
        <v>251</v>
      </c>
      <c r="E44" s="26">
        <v>2.0315500000000002</v>
      </c>
      <c r="F44" s="29">
        <v>2.0277400000000001</v>
      </c>
      <c r="G44" s="29">
        <v>2.7399999999999998E-3</v>
      </c>
      <c r="H44" s="29">
        <v>1.07E-3</v>
      </c>
      <c r="I44" s="27"/>
    </row>
    <row r="45" spans="2:9" s="3" customFormat="1" ht="15" x14ac:dyDescent="0.25">
      <c r="B45" s="267"/>
      <c r="C45" s="255"/>
      <c r="D45" s="23" t="s">
        <v>246</v>
      </c>
      <c r="E45" s="26">
        <v>0.20386000000000001</v>
      </c>
      <c r="F45" s="29">
        <v>0.20347000000000001</v>
      </c>
      <c r="G45" s="29">
        <v>2.7999999999999998E-4</v>
      </c>
      <c r="H45" s="29">
        <v>1.1E-4</v>
      </c>
      <c r="I45" s="27"/>
    </row>
    <row r="46" spans="2:9" s="3" customFormat="1" ht="15" x14ac:dyDescent="0.25">
      <c r="B46" s="267"/>
      <c r="C46" s="256"/>
      <c r="D46" s="23" t="s">
        <v>247</v>
      </c>
      <c r="E46" s="26">
        <v>0.18396999999999999</v>
      </c>
      <c r="F46" s="29">
        <v>0.18362000000000001</v>
      </c>
      <c r="G46" s="29">
        <v>2.5000000000000001E-4</v>
      </c>
      <c r="H46" s="29">
        <v>1E-4</v>
      </c>
      <c r="I46" s="27"/>
    </row>
    <row r="47" spans="2:9" s="3" customFormat="1" ht="15" x14ac:dyDescent="0.25">
      <c r="B47" s="267"/>
      <c r="C47" s="251" t="s">
        <v>253</v>
      </c>
      <c r="D47" s="23" t="s">
        <v>244</v>
      </c>
      <c r="E47" s="26">
        <v>2578.25</v>
      </c>
      <c r="F47" s="26">
        <v>2575.6999999999998</v>
      </c>
      <c r="G47" s="26">
        <v>1.17</v>
      </c>
      <c r="H47" s="26">
        <v>1.39</v>
      </c>
      <c r="I47" s="27"/>
    </row>
    <row r="48" spans="2:9" s="3" customFormat="1" ht="15" x14ac:dyDescent="0.25">
      <c r="B48" s="267"/>
      <c r="C48" s="252"/>
      <c r="D48" s="23" t="s">
        <v>245</v>
      </c>
      <c r="E48" s="26">
        <v>0.94440999999999997</v>
      </c>
      <c r="F48" s="29">
        <v>0.94347999999999999</v>
      </c>
      <c r="G48" s="29">
        <v>4.2999999999999999E-4</v>
      </c>
      <c r="H48" s="29">
        <v>5.1000000000000004E-4</v>
      </c>
      <c r="I48" s="27"/>
    </row>
    <row r="49" spans="2:9" s="3" customFormat="1" ht="15" x14ac:dyDescent="0.25">
      <c r="B49" s="267"/>
      <c r="C49" s="252"/>
      <c r="D49" s="23" t="s">
        <v>246</v>
      </c>
      <c r="E49" s="26">
        <v>0.19917000000000001</v>
      </c>
      <c r="F49" s="29">
        <v>0.19897000000000001</v>
      </c>
      <c r="G49" s="29">
        <v>9.0000000000000006E-5</v>
      </c>
      <c r="H49" s="29">
        <v>1.1E-4</v>
      </c>
      <c r="I49" s="27"/>
    </row>
    <row r="50" spans="2:9" s="3" customFormat="1" ht="15" x14ac:dyDescent="0.25">
      <c r="B50" s="267"/>
      <c r="C50" s="253"/>
      <c r="D50" s="23" t="s">
        <v>247</v>
      </c>
      <c r="E50" s="26">
        <v>0.18323999999999999</v>
      </c>
      <c r="F50" s="79">
        <v>0.18304999999999999</v>
      </c>
      <c r="G50" s="29">
        <v>8.0000000000000007E-5</v>
      </c>
      <c r="H50" s="29">
        <v>1E-4</v>
      </c>
      <c r="I50" s="27"/>
    </row>
    <row r="51" spans="2:9" s="3" customFormat="1" ht="15" x14ac:dyDescent="0.25">
      <c r="B51" s="267"/>
      <c r="C51" s="254" t="s">
        <v>254</v>
      </c>
      <c r="D51" s="23" t="s">
        <v>244</v>
      </c>
      <c r="E51" s="26">
        <v>2997.55</v>
      </c>
      <c r="F51" s="29">
        <v>2993.4</v>
      </c>
      <c r="G51" s="29">
        <v>2.31</v>
      </c>
      <c r="H51" s="29">
        <v>1.85</v>
      </c>
      <c r="I51" s="27"/>
    </row>
    <row r="52" spans="2:9" s="3" customFormat="1" ht="15" x14ac:dyDescent="0.25">
      <c r="B52" s="267"/>
      <c r="C52" s="255"/>
      <c r="D52" s="23" t="s">
        <v>245</v>
      </c>
      <c r="E52" s="26">
        <v>1.5435399999999999</v>
      </c>
      <c r="F52" s="29">
        <v>1.5414000000000001</v>
      </c>
      <c r="G52" s="29">
        <v>1.1900000000000001E-3</v>
      </c>
      <c r="H52" s="29">
        <v>9.5E-4</v>
      </c>
      <c r="I52" s="27"/>
    </row>
    <row r="53" spans="2:9" s="3" customFormat="1" ht="15" x14ac:dyDescent="0.25">
      <c r="B53" s="267"/>
      <c r="C53" s="255"/>
      <c r="D53" s="23" t="s">
        <v>246</v>
      </c>
      <c r="E53" s="26">
        <v>0.23257</v>
      </c>
      <c r="F53" s="29">
        <v>0.23225000000000001</v>
      </c>
      <c r="G53" s="29">
        <v>1.8000000000000001E-4</v>
      </c>
      <c r="H53" s="29">
        <v>1.3999999999999999E-4</v>
      </c>
      <c r="I53" s="27"/>
    </row>
    <row r="54" spans="2:9" s="3" customFormat="1" ht="15" x14ac:dyDescent="0.25">
      <c r="B54" s="268"/>
      <c r="C54" s="256"/>
      <c r="D54" s="23" t="s">
        <v>247</v>
      </c>
      <c r="E54" s="26">
        <v>0.21410999999999999</v>
      </c>
      <c r="F54" s="29">
        <v>0.21381</v>
      </c>
      <c r="G54" s="29">
        <v>1.6000000000000001E-4</v>
      </c>
      <c r="H54" s="29">
        <v>1.2999999999999999E-4</v>
      </c>
      <c r="I54" s="27"/>
    </row>
    <row r="55" spans="2:9" s="3" customFormat="1" ht="15" x14ac:dyDescent="0.25">
      <c r="B55" s="31"/>
      <c r="C55" s="31"/>
      <c r="D55" s="31"/>
      <c r="E55" s="32"/>
      <c r="F55" s="32"/>
      <c r="G55" s="32"/>
      <c r="H55" s="32"/>
      <c r="I55" s="3" t="s">
        <v>255</v>
      </c>
    </row>
    <row r="56" spans="2:9" s="3" customFormat="1" ht="15" x14ac:dyDescent="0.25">
      <c r="B56" s="31"/>
      <c r="C56" s="31"/>
      <c r="D56" s="31"/>
      <c r="E56" s="32"/>
      <c r="F56" s="32"/>
      <c r="G56" s="32"/>
      <c r="H56" s="32"/>
      <c r="I56" s="3" t="s">
        <v>255</v>
      </c>
    </row>
    <row r="57" spans="2:9" s="3" customFormat="1" ht="15" x14ac:dyDescent="0.25">
      <c r="B57" s="31"/>
      <c r="C57" s="31"/>
      <c r="D57" s="31"/>
      <c r="E57" s="32"/>
      <c r="F57" s="32"/>
      <c r="G57" s="32"/>
      <c r="H57" s="32"/>
      <c r="I57" s="3" t="s">
        <v>255</v>
      </c>
    </row>
    <row r="58" spans="2:9" s="3" customFormat="1" ht="18" x14ac:dyDescent="0.35">
      <c r="B58" s="22" t="s">
        <v>235</v>
      </c>
      <c r="C58" s="22" t="s">
        <v>236</v>
      </c>
      <c r="D58" s="22" t="s">
        <v>237</v>
      </c>
      <c r="E58" s="23" t="s">
        <v>238</v>
      </c>
      <c r="F58" s="23" t="s">
        <v>239</v>
      </c>
      <c r="G58" s="33" t="s">
        <v>240</v>
      </c>
      <c r="H58" s="33" t="s">
        <v>241</v>
      </c>
    </row>
    <row r="59" spans="2:9" s="3" customFormat="1" ht="15" x14ac:dyDescent="0.25">
      <c r="B59" s="257" t="s">
        <v>256</v>
      </c>
      <c r="C59" s="254" t="s">
        <v>257</v>
      </c>
      <c r="D59" s="23" t="s">
        <v>244</v>
      </c>
      <c r="E59" s="26">
        <v>3192.76</v>
      </c>
      <c r="F59" s="34">
        <v>3127.67</v>
      </c>
      <c r="G59" s="34">
        <v>35.29</v>
      </c>
      <c r="H59" s="34">
        <v>29.8</v>
      </c>
      <c r="I59" s="27"/>
    </row>
    <row r="60" spans="2:9" s="3" customFormat="1" ht="15" x14ac:dyDescent="0.25">
      <c r="B60" s="258"/>
      <c r="C60" s="255"/>
      <c r="D60" s="23" t="s">
        <v>245</v>
      </c>
      <c r="E60" s="26">
        <v>2.3304800000000001</v>
      </c>
      <c r="F60" s="29">
        <v>2.2829700000000002</v>
      </c>
      <c r="G60" s="29">
        <v>2.5760000000000002E-2</v>
      </c>
      <c r="H60" s="29">
        <v>2.1749999999999999E-2</v>
      </c>
      <c r="I60" s="27"/>
    </row>
    <row r="61" spans="2:9" s="3" customFormat="1" ht="15" x14ac:dyDescent="0.25">
      <c r="B61" s="258"/>
      <c r="C61" s="255"/>
      <c r="D61" s="23" t="s">
        <v>246</v>
      </c>
      <c r="E61" s="26">
        <v>0.25658000000000003</v>
      </c>
      <c r="F61" s="29">
        <v>0.25135000000000002</v>
      </c>
      <c r="G61" s="29">
        <v>2.8400000000000001E-3</v>
      </c>
      <c r="H61" s="29">
        <v>2.3900000000000002E-3</v>
      </c>
      <c r="I61" s="27"/>
    </row>
    <row r="62" spans="2:9" s="3" customFormat="1" ht="15" x14ac:dyDescent="0.25">
      <c r="B62" s="258"/>
      <c r="C62" s="256"/>
      <c r="D62" s="23" t="s">
        <v>247</v>
      </c>
      <c r="E62" s="26">
        <v>0.24374999999999999</v>
      </c>
      <c r="F62" s="29">
        <v>0.23877999999999999</v>
      </c>
      <c r="G62" s="29">
        <v>2.6900000000000001E-3</v>
      </c>
      <c r="H62" s="29">
        <v>2.2799999999999999E-3</v>
      </c>
      <c r="I62" s="27"/>
    </row>
    <row r="63" spans="2:9" s="3" customFormat="1" ht="15" x14ac:dyDescent="0.25">
      <c r="B63" s="258"/>
      <c r="C63" s="254" t="s">
        <v>258</v>
      </c>
      <c r="D63" s="23" t="s">
        <v>244</v>
      </c>
      <c r="E63" s="26">
        <v>3181.4300000000003</v>
      </c>
      <c r="F63" s="34">
        <v>3149.67</v>
      </c>
      <c r="G63" s="34">
        <v>1.96</v>
      </c>
      <c r="H63" s="34">
        <v>29.8</v>
      </c>
      <c r="I63" s="27"/>
    </row>
    <row r="64" spans="2:9" s="3" customFormat="1" ht="15" x14ac:dyDescent="0.25">
      <c r="B64" s="258"/>
      <c r="C64" s="255"/>
      <c r="D64" s="23" t="s">
        <v>245</v>
      </c>
      <c r="E64" s="26">
        <v>2.54514</v>
      </c>
      <c r="F64" s="29">
        <v>2.51973</v>
      </c>
      <c r="G64" s="29">
        <v>1.57E-3</v>
      </c>
      <c r="H64" s="29">
        <v>2.384E-2</v>
      </c>
      <c r="I64" s="27"/>
    </row>
    <row r="65" spans="2:9" s="3" customFormat="1" ht="15" x14ac:dyDescent="0.25">
      <c r="B65" s="258"/>
      <c r="C65" s="255"/>
      <c r="D65" s="23" t="s">
        <v>246</v>
      </c>
      <c r="E65" s="26">
        <v>0.26085999999999998</v>
      </c>
      <c r="F65" s="29">
        <v>0.25825999999999999</v>
      </c>
      <c r="G65" s="29">
        <v>1.6000000000000001E-4</v>
      </c>
      <c r="H65" s="29">
        <v>2.4399999999999999E-3</v>
      </c>
      <c r="I65" s="27"/>
    </row>
    <row r="66" spans="2:9" s="3" customFormat="1" ht="15" x14ac:dyDescent="0.25">
      <c r="B66" s="258"/>
      <c r="C66" s="256"/>
      <c r="D66" s="23" t="s">
        <v>247</v>
      </c>
      <c r="E66" s="26">
        <v>0.24782000000000001</v>
      </c>
      <c r="F66" s="29">
        <v>0.24535000000000001</v>
      </c>
      <c r="G66" s="29">
        <v>1.4999999999999999E-4</v>
      </c>
      <c r="H66" s="29">
        <v>2.32E-3</v>
      </c>
      <c r="I66" s="27"/>
    </row>
    <row r="67" spans="2:9" s="3" customFormat="1" ht="15" x14ac:dyDescent="0.25">
      <c r="B67" s="258"/>
      <c r="C67" s="260" t="s">
        <v>259</v>
      </c>
      <c r="D67" s="23" t="s">
        <v>244</v>
      </c>
      <c r="E67" s="26">
        <v>3165.01</v>
      </c>
      <c r="F67" s="34">
        <v>3149.67</v>
      </c>
      <c r="G67" s="34">
        <v>7.5</v>
      </c>
      <c r="H67" s="34">
        <v>7.84</v>
      </c>
      <c r="I67" s="27"/>
    </row>
    <row r="68" spans="2:9" s="3" customFormat="1" ht="15" x14ac:dyDescent="0.25">
      <c r="B68" s="258"/>
      <c r="C68" s="261"/>
      <c r="D68" s="23" t="s">
        <v>245</v>
      </c>
      <c r="E68" s="26">
        <v>2.54013</v>
      </c>
      <c r="F68" s="29">
        <v>2.5278200000000002</v>
      </c>
      <c r="G68" s="29">
        <v>6.0200000000000002E-3</v>
      </c>
      <c r="H68" s="29">
        <v>6.2899999999999996E-3</v>
      </c>
      <c r="I68" s="27"/>
    </row>
    <row r="69" spans="2:9" s="3" customFormat="1" ht="15" x14ac:dyDescent="0.25">
      <c r="B69" s="258"/>
      <c r="C69" s="261"/>
      <c r="D69" s="23" t="s">
        <v>246</v>
      </c>
      <c r="E69" s="26">
        <v>0.25974999999999998</v>
      </c>
      <c r="F69" s="29">
        <v>0.25849</v>
      </c>
      <c r="G69" s="29">
        <v>6.2E-4</v>
      </c>
      <c r="H69" s="29">
        <v>6.4000000000000005E-4</v>
      </c>
      <c r="I69" s="27"/>
    </row>
    <row r="70" spans="2:9" s="3" customFormat="1" ht="15" x14ac:dyDescent="0.25">
      <c r="B70" s="258"/>
      <c r="C70" s="262"/>
      <c r="D70" s="23" t="s">
        <v>247</v>
      </c>
      <c r="E70" s="26">
        <v>0.24677000000000002</v>
      </c>
      <c r="F70" s="79">
        <v>0.24557000000000001</v>
      </c>
      <c r="G70" s="29">
        <v>5.9000000000000003E-4</v>
      </c>
      <c r="H70" s="29">
        <v>6.0999999999999997E-4</v>
      </c>
      <c r="I70" s="27"/>
    </row>
    <row r="71" spans="2:9" s="3" customFormat="1" ht="15" x14ac:dyDescent="0.25">
      <c r="B71" s="258"/>
      <c r="C71" s="263" t="s">
        <v>260</v>
      </c>
      <c r="D71" s="23" t="s">
        <v>244</v>
      </c>
      <c r="E71" s="26">
        <v>3032.89</v>
      </c>
      <c r="F71" s="34">
        <v>2988.85</v>
      </c>
      <c r="G71" s="34">
        <v>0.31</v>
      </c>
      <c r="H71" s="34">
        <v>43.73</v>
      </c>
      <c r="I71" s="27"/>
    </row>
    <row r="72" spans="2:9" s="3" customFormat="1" ht="15" x14ac:dyDescent="0.25">
      <c r="B72" s="258"/>
      <c r="C72" s="264"/>
      <c r="D72" s="23" t="s">
        <v>245</v>
      </c>
      <c r="E72" s="26">
        <v>2.5578399999999997</v>
      </c>
      <c r="F72" s="29">
        <v>2.5205799999999998</v>
      </c>
      <c r="G72" s="29">
        <v>2.5999999999999998E-4</v>
      </c>
      <c r="H72" s="29">
        <v>3.6999999999999998E-2</v>
      </c>
      <c r="I72" s="27"/>
    </row>
    <row r="73" spans="2:9" s="3" customFormat="1" ht="15" x14ac:dyDescent="0.25">
      <c r="B73" s="258"/>
      <c r="C73" s="264"/>
      <c r="D73" s="23" t="s">
        <v>246</v>
      </c>
      <c r="E73" s="26">
        <v>0.25630999999999998</v>
      </c>
      <c r="F73" s="29">
        <v>0.25257000000000002</v>
      </c>
      <c r="G73" s="29">
        <v>3.0000000000000001E-5</v>
      </c>
      <c r="H73" s="29">
        <v>3.7100000000000002E-3</v>
      </c>
      <c r="I73" s="27"/>
    </row>
    <row r="74" spans="2:9" s="3" customFormat="1" ht="15" x14ac:dyDescent="0.25">
      <c r="B74" s="258"/>
      <c r="C74" s="265"/>
      <c r="D74" s="23" t="s">
        <v>247</v>
      </c>
      <c r="E74" s="26">
        <v>0.24114999999999998</v>
      </c>
      <c r="F74" s="29">
        <v>0.23763999999999999</v>
      </c>
      <c r="G74" s="29">
        <v>2.0000000000000002E-5</v>
      </c>
      <c r="H74" s="29">
        <v>3.49E-3</v>
      </c>
      <c r="I74" s="27"/>
    </row>
    <row r="75" spans="2:9" s="3" customFormat="1" ht="15" x14ac:dyDescent="0.25">
      <c r="B75" s="258"/>
      <c r="C75" s="263" t="s">
        <v>261</v>
      </c>
      <c r="D75" s="23" t="s">
        <v>244</v>
      </c>
      <c r="E75" s="26">
        <v>3208.7599999999998</v>
      </c>
      <c r="F75" s="34">
        <v>3164.33</v>
      </c>
      <c r="G75" s="34">
        <v>0.31</v>
      </c>
      <c r="H75" s="34">
        <v>44.12</v>
      </c>
      <c r="I75" s="27"/>
    </row>
    <row r="76" spans="2:9" s="3" customFormat="1" ht="15" x14ac:dyDescent="0.25">
      <c r="B76" s="258"/>
      <c r="C76" s="264"/>
      <c r="D76" s="23" t="s">
        <v>245</v>
      </c>
      <c r="E76" s="26">
        <v>2.6987999999999999</v>
      </c>
      <c r="F76" s="29">
        <v>2.66134</v>
      </c>
      <c r="G76" s="29">
        <v>2.5999999999999998E-4</v>
      </c>
      <c r="H76" s="29">
        <v>3.7199999999999997E-2</v>
      </c>
      <c r="I76" s="27"/>
    </row>
    <row r="77" spans="2:9" s="3" customFormat="1" ht="15" x14ac:dyDescent="0.25">
      <c r="B77" s="258"/>
      <c r="C77" s="264"/>
      <c r="D77" s="23" t="s">
        <v>246</v>
      </c>
      <c r="E77" s="26">
        <v>0.26938999999999996</v>
      </c>
      <c r="F77" s="29">
        <v>0.26565</v>
      </c>
      <c r="G77" s="29">
        <v>3.0000000000000001E-5</v>
      </c>
      <c r="H77" s="29">
        <v>3.7100000000000002E-3</v>
      </c>
      <c r="I77" s="27"/>
    </row>
    <row r="78" spans="2:9" s="3" customFormat="1" ht="15" x14ac:dyDescent="0.25">
      <c r="B78" s="258"/>
      <c r="C78" s="265"/>
      <c r="D78" s="23" t="s">
        <v>247</v>
      </c>
      <c r="E78" s="26">
        <v>0.25320999999999999</v>
      </c>
      <c r="F78" s="29">
        <v>0.24970999999999999</v>
      </c>
      <c r="G78" s="29">
        <v>2.0000000000000002E-5</v>
      </c>
      <c r="H78" s="29">
        <v>3.48E-3</v>
      </c>
      <c r="I78" s="27"/>
    </row>
    <row r="79" spans="2:9" s="3" customFormat="1" ht="15" x14ac:dyDescent="0.25">
      <c r="B79" s="258"/>
      <c r="C79" s="260" t="s">
        <v>262</v>
      </c>
      <c r="D79" s="23" t="s">
        <v>244</v>
      </c>
      <c r="E79" s="26">
        <v>3229.2000000000003</v>
      </c>
      <c r="F79" s="34">
        <v>3216.38</v>
      </c>
      <c r="G79" s="34">
        <v>4.8099999999999996</v>
      </c>
      <c r="H79" s="34">
        <v>8.01</v>
      </c>
      <c r="I79" s="27"/>
    </row>
    <row r="80" spans="2:9" s="3" customFormat="1" ht="15" x14ac:dyDescent="0.25">
      <c r="B80" s="258"/>
      <c r="C80" s="261"/>
      <c r="D80" s="23" t="s">
        <v>245</v>
      </c>
      <c r="E80" s="26">
        <v>3.17523</v>
      </c>
      <c r="F80" s="29">
        <v>3.16262</v>
      </c>
      <c r="G80" s="29">
        <v>4.7299999999999998E-3</v>
      </c>
      <c r="H80" s="29">
        <v>7.8799999999999999E-3</v>
      </c>
      <c r="I80" s="27"/>
    </row>
    <row r="81" spans="2:9" s="3" customFormat="1" ht="15" x14ac:dyDescent="0.25">
      <c r="B81" s="258"/>
      <c r="C81" s="261"/>
      <c r="D81" s="23" t="s">
        <v>246</v>
      </c>
      <c r="E81" s="26">
        <v>0.28525999999999996</v>
      </c>
      <c r="F81" s="29">
        <v>0.28412999999999999</v>
      </c>
      <c r="G81" s="29">
        <v>4.2000000000000002E-4</v>
      </c>
      <c r="H81" s="29">
        <v>7.1000000000000002E-4</v>
      </c>
      <c r="I81" s="27"/>
    </row>
    <row r="82" spans="2:9" s="3" customFormat="1" ht="15" x14ac:dyDescent="0.25">
      <c r="B82" s="258"/>
      <c r="C82" s="262"/>
      <c r="D82" s="23" t="s">
        <v>247</v>
      </c>
      <c r="E82" s="26">
        <v>0.26816000000000001</v>
      </c>
      <c r="F82" s="79">
        <v>0.26708999999999999</v>
      </c>
      <c r="G82" s="29">
        <v>4.0000000000000002E-4</v>
      </c>
      <c r="H82" s="29">
        <v>6.7000000000000002E-4</v>
      </c>
      <c r="I82" s="27"/>
    </row>
    <row r="83" spans="2:9" s="3" customFormat="1" ht="15" x14ac:dyDescent="0.25">
      <c r="B83" s="258"/>
      <c r="C83" s="260" t="s">
        <v>263</v>
      </c>
      <c r="D83" s="23" t="s">
        <v>244</v>
      </c>
      <c r="E83" s="26">
        <v>3230.2799999999997</v>
      </c>
      <c r="F83" s="34">
        <v>3190</v>
      </c>
      <c r="G83" s="34">
        <v>3.29</v>
      </c>
      <c r="H83" s="34">
        <v>36.99</v>
      </c>
      <c r="I83" s="27"/>
    </row>
    <row r="84" spans="2:9" s="3" customFormat="1" ht="15" x14ac:dyDescent="0.25">
      <c r="B84" s="258"/>
      <c r="C84" s="261"/>
      <c r="D84" s="23" t="s">
        <v>245</v>
      </c>
      <c r="E84" s="26">
        <v>2.7585700000000002</v>
      </c>
      <c r="F84" s="29">
        <v>2.72417</v>
      </c>
      <c r="G84" s="29">
        <v>2.81E-3</v>
      </c>
      <c r="H84" s="29">
        <v>3.159E-2</v>
      </c>
      <c r="I84" s="27"/>
    </row>
    <row r="85" spans="2:9" s="3" customFormat="1" ht="15" x14ac:dyDescent="0.25">
      <c r="B85" s="258"/>
      <c r="C85" s="261"/>
      <c r="D85" s="23" t="s">
        <v>246</v>
      </c>
      <c r="E85" s="26">
        <v>0.27319000000000004</v>
      </c>
      <c r="F85" s="29">
        <v>0.26978000000000002</v>
      </c>
      <c r="G85" s="29">
        <v>2.7999999999999998E-4</v>
      </c>
      <c r="H85" s="29">
        <v>3.13E-3</v>
      </c>
      <c r="I85" s="27"/>
    </row>
    <row r="86" spans="2:9" s="3" customFormat="1" ht="15" x14ac:dyDescent="0.25">
      <c r="B86" s="258"/>
      <c r="C86" s="262"/>
      <c r="D86" s="23" t="s">
        <v>247</v>
      </c>
      <c r="E86" s="26">
        <v>0.25678999999999996</v>
      </c>
      <c r="F86" s="79">
        <v>0.25358999999999998</v>
      </c>
      <c r="G86" s="29">
        <v>2.5999999999999998E-4</v>
      </c>
      <c r="H86" s="29">
        <v>2.9399999999999999E-3</v>
      </c>
      <c r="I86" s="27"/>
    </row>
    <row r="87" spans="2:9" s="3" customFormat="1" ht="15" x14ac:dyDescent="0.25">
      <c r="B87" s="258"/>
      <c r="C87" s="269" t="s">
        <v>264</v>
      </c>
      <c r="D87" s="23" t="s">
        <v>244</v>
      </c>
      <c r="E87" s="26">
        <v>3181.44</v>
      </c>
      <c r="F87" s="34">
        <v>3171.09</v>
      </c>
      <c r="G87" s="34">
        <v>3.06</v>
      </c>
      <c r="H87" s="34">
        <v>7.29</v>
      </c>
      <c r="I87" s="27"/>
    </row>
    <row r="88" spans="2:9" s="3" customFormat="1" ht="15" x14ac:dyDescent="0.25">
      <c r="B88" s="258"/>
      <c r="C88" s="270"/>
      <c r="D88" s="23" t="s">
        <v>245</v>
      </c>
      <c r="E88" s="26">
        <v>2.7497199999999999</v>
      </c>
      <c r="F88" s="34">
        <v>2.74078</v>
      </c>
      <c r="G88" s="34">
        <v>2.64E-3</v>
      </c>
      <c r="H88" s="34">
        <v>6.3E-3</v>
      </c>
      <c r="I88" s="27"/>
    </row>
    <row r="89" spans="2:9" s="3" customFormat="1" ht="15" x14ac:dyDescent="0.25">
      <c r="B89" s="258"/>
      <c r="C89" s="270"/>
      <c r="D89" s="23" t="s">
        <v>246</v>
      </c>
      <c r="E89" s="26">
        <v>0.28103999999999996</v>
      </c>
      <c r="F89" s="29">
        <v>0.28012999999999999</v>
      </c>
      <c r="G89" s="29">
        <v>2.7E-4</v>
      </c>
      <c r="H89" s="29">
        <v>6.4000000000000005E-4</v>
      </c>
      <c r="I89" s="27"/>
    </row>
    <row r="90" spans="2:9" s="3" customFormat="1" ht="15" x14ac:dyDescent="0.25">
      <c r="B90" s="258"/>
      <c r="C90" s="271"/>
      <c r="D90" s="23" t="s">
        <v>247</v>
      </c>
      <c r="E90" s="26">
        <v>0.26417999999999997</v>
      </c>
      <c r="F90" s="29">
        <v>0.26332</v>
      </c>
      <c r="G90" s="29">
        <v>2.5000000000000001E-4</v>
      </c>
      <c r="H90" s="29">
        <v>6.0999999999999997E-4</v>
      </c>
      <c r="I90" s="27"/>
    </row>
    <row r="91" spans="2:9" s="3" customFormat="1" ht="15" x14ac:dyDescent="0.25">
      <c r="B91" s="258"/>
      <c r="C91" s="272" t="s">
        <v>23</v>
      </c>
      <c r="D91" s="23" t="s">
        <v>244</v>
      </c>
      <c r="E91" s="26">
        <v>3142.87</v>
      </c>
      <c r="F91" s="34">
        <v>3131.33</v>
      </c>
      <c r="G91" s="34">
        <v>3.41</v>
      </c>
      <c r="H91" s="34">
        <v>8.1300000000000008</v>
      </c>
      <c r="I91" s="27"/>
    </row>
    <row r="92" spans="2:9" s="3" customFormat="1" ht="15" x14ac:dyDescent="0.25">
      <c r="B92" s="258"/>
      <c r="C92" s="273"/>
      <c r="D92" s="23" t="s">
        <v>245</v>
      </c>
      <c r="E92" s="26">
        <v>2.1192699999999998</v>
      </c>
      <c r="F92" s="34">
        <v>2.1114899999999999</v>
      </c>
      <c r="G92" s="34">
        <v>2.3E-3</v>
      </c>
      <c r="H92" s="34">
        <v>5.4799999999999996E-3</v>
      </c>
      <c r="I92" s="27"/>
    </row>
    <row r="93" spans="2:9" s="3" customFormat="1" ht="15" x14ac:dyDescent="0.25">
      <c r="B93" s="258"/>
      <c r="C93" s="273"/>
      <c r="D93" s="23" t="s">
        <v>246</v>
      </c>
      <c r="E93" s="26">
        <v>0.24895</v>
      </c>
      <c r="F93" s="29">
        <v>0.24804000000000001</v>
      </c>
      <c r="G93" s="29">
        <v>2.7E-4</v>
      </c>
      <c r="H93" s="29">
        <v>6.4000000000000005E-4</v>
      </c>
      <c r="I93" s="27"/>
    </row>
    <row r="94" spans="2:9" s="3" customFormat="1" ht="15" x14ac:dyDescent="0.25">
      <c r="B94" s="258"/>
      <c r="C94" s="274"/>
      <c r="D94" s="35" t="s">
        <v>247</v>
      </c>
      <c r="E94" s="26">
        <v>0.23651</v>
      </c>
      <c r="F94" s="81">
        <v>0.23563999999999999</v>
      </c>
      <c r="G94" s="36">
        <v>2.5999999999999998E-4</v>
      </c>
      <c r="H94" s="36">
        <v>6.0999999999999997E-4</v>
      </c>
      <c r="I94" s="27"/>
    </row>
    <row r="95" spans="2:9" s="3" customFormat="1" ht="15" x14ac:dyDescent="0.25">
      <c r="B95" s="258"/>
      <c r="C95" s="272" t="s">
        <v>265</v>
      </c>
      <c r="D95" s="37" t="s">
        <v>244</v>
      </c>
      <c r="E95" s="26">
        <v>2903.08</v>
      </c>
      <c r="F95" s="38">
        <v>2884.53</v>
      </c>
      <c r="G95" s="38">
        <v>9.68</v>
      </c>
      <c r="H95" s="39">
        <v>8.8699999999999992</v>
      </c>
      <c r="I95" s="27"/>
    </row>
    <row r="96" spans="2:9" s="3" customFormat="1" ht="15" x14ac:dyDescent="0.25">
      <c r="B96" s="258"/>
      <c r="C96" s="273"/>
      <c r="D96" s="40" t="s">
        <v>245</v>
      </c>
      <c r="E96" s="26">
        <v>2.1618500000000003</v>
      </c>
      <c r="F96" s="29">
        <v>2.14805</v>
      </c>
      <c r="G96" s="29">
        <v>7.1999999999999998E-3</v>
      </c>
      <c r="H96" s="41">
        <v>6.6E-3</v>
      </c>
      <c r="I96" s="27"/>
    </row>
    <row r="97" spans="2:14" s="3" customFormat="1" ht="15" x14ac:dyDescent="0.25">
      <c r="B97" s="258"/>
      <c r="C97" s="273"/>
      <c r="D97" s="40" t="s">
        <v>246</v>
      </c>
      <c r="E97" s="26">
        <v>0.23961000000000002</v>
      </c>
      <c r="F97" s="29">
        <v>0.23808000000000001</v>
      </c>
      <c r="G97" s="29">
        <v>8.0000000000000004E-4</v>
      </c>
      <c r="H97" s="41">
        <v>7.2999999999999996E-4</v>
      </c>
      <c r="I97" s="27"/>
    </row>
    <row r="98" spans="2:14" s="3" customFormat="1" ht="15" x14ac:dyDescent="0.25">
      <c r="B98" s="258"/>
      <c r="C98" s="274"/>
      <c r="D98" s="42" t="s">
        <v>247</v>
      </c>
      <c r="E98" s="26">
        <v>0.22719</v>
      </c>
      <c r="F98" s="80">
        <v>0.22575000000000001</v>
      </c>
      <c r="G98" s="43">
        <v>7.5000000000000002E-4</v>
      </c>
      <c r="H98" s="44">
        <v>6.8999999999999997E-4</v>
      </c>
      <c r="I98" s="27"/>
    </row>
    <row r="99" spans="2:14" s="3" customFormat="1" ht="15" x14ac:dyDescent="0.25">
      <c r="B99" s="258"/>
      <c r="C99" s="263" t="s">
        <v>266</v>
      </c>
      <c r="D99" s="45" t="s">
        <v>244</v>
      </c>
      <c r="E99" s="26">
        <v>3153.9</v>
      </c>
      <c r="F99" s="46">
        <v>3135</v>
      </c>
      <c r="G99" s="46">
        <v>9.86</v>
      </c>
      <c r="H99" s="46">
        <v>9.0399999999999991</v>
      </c>
      <c r="I99" s="27"/>
    </row>
    <row r="100" spans="2:14" s="3" customFormat="1" ht="15" x14ac:dyDescent="0.25">
      <c r="B100" s="258"/>
      <c r="C100" s="264"/>
      <c r="D100" s="23" t="s">
        <v>245</v>
      </c>
      <c r="E100" s="26">
        <v>2.3397000000000001</v>
      </c>
      <c r="F100" s="29">
        <v>2.3256700000000001</v>
      </c>
      <c r="G100" s="29">
        <v>7.3200000000000001E-3</v>
      </c>
      <c r="H100" s="29">
        <v>6.7099999999999998E-3</v>
      </c>
      <c r="I100" s="27"/>
    </row>
    <row r="101" spans="2:14" s="3" customFormat="1" ht="15" x14ac:dyDescent="0.25">
      <c r="B101" s="258"/>
      <c r="C101" s="264"/>
      <c r="D101" s="23" t="s">
        <v>246</v>
      </c>
      <c r="E101" s="26">
        <v>0.25428000000000001</v>
      </c>
      <c r="F101" s="29">
        <v>0.25274999999999997</v>
      </c>
      <c r="G101" s="29">
        <v>8.0000000000000004E-4</v>
      </c>
      <c r="H101" s="29">
        <v>7.2999999999999996E-4</v>
      </c>
      <c r="I101" s="27"/>
    </row>
    <row r="102" spans="2:14" s="3" customFormat="1" ht="15" x14ac:dyDescent="0.25">
      <c r="B102" s="258"/>
      <c r="C102" s="265"/>
      <c r="D102" s="23" t="s">
        <v>247</v>
      </c>
      <c r="E102" s="26">
        <v>0.24156</v>
      </c>
      <c r="F102" s="29">
        <v>0.24010999999999999</v>
      </c>
      <c r="G102" s="29">
        <v>7.6000000000000004E-4</v>
      </c>
      <c r="H102" s="29">
        <v>6.8999999999999997E-4</v>
      </c>
      <c r="I102" s="27"/>
    </row>
    <row r="103" spans="2:14" s="3" customFormat="1" ht="15" x14ac:dyDescent="0.25">
      <c r="B103" s="258"/>
      <c r="C103" s="263" t="s">
        <v>267</v>
      </c>
      <c r="D103" s="23" t="s">
        <v>244</v>
      </c>
      <c r="E103" s="26">
        <v>3229.2000000000003</v>
      </c>
      <c r="F103" s="34">
        <v>3216.38</v>
      </c>
      <c r="G103" s="34">
        <v>4.8099999999999996</v>
      </c>
      <c r="H103" s="34">
        <v>8.01</v>
      </c>
      <c r="I103" s="27"/>
    </row>
    <row r="104" spans="2:14" s="3" customFormat="1" ht="15" x14ac:dyDescent="0.25">
      <c r="B104" s="258"/>
      <c r="C104" s="264"/>
      <c r="D104" s="23" t="s">
        <v>245</v>
      </c>
      <c r="E104" s="26">
        <v>3.17523</v>
      </c>
      <c r="F104" s="29">
        <v>3.16262</v>
      </c>
      <c r="G104" s="29">
        <v>4.7299999999999998E-3</v>
      </c>
      <c r="H104" s="29">
        <v>7.8799999999999999E-3</v>
      </c>
      <c r="I104" s="27"/>
    </row>
    <row r="105" spans="2:14" s="3" customFormat="1" ht="15" x14ac:dyDescent="0.25">
      <c r="B105" s="258"/>
      <c r="C105" s="264"/>
      <c r="D105" s="23" t="s">
        <v>246</v>
      </c>
      <c r="E105" s="26">
        <v>0.28525999999999996</v>
      </c>
      <c r="F105" s="29">
        <v>0.28412999999999999</v>
      </c>
      <c r="G105" s="29">
        <v>4.2000000000000002E-4</v>
      </c>
      <c r="H105" s="29">
        <v>7.1000000000000002E-4</v>
      </c>
      <c r="I105" s="27"/>
    </row>
    <row r="106" spans="2:14" s="3" customFormat="1" ht="15" x14ac:dyDescent="0.25">
      <c r="B106" s="258"/>
      <c r="C106" s="265"/>
      <c r="D106" s="23" t="s">
        <v>247</v>
      </c>
      <c r="E106" s="26">
        <v>0.26816000000000001</v>
      </c>
      <c r="F106" s="29">
        <v>0.26708999999999999</v>
      </c>
      <c r="G106" s="29">
        <v>4.0000000000000002E-4</v>
      </c>
      <c r="H106" s="29">
        <v>6.7000000000000002E-4</v>
      </c>
      <c r="I106" s="27"/>
    </row>
    <row r="107" spans="2:14" s="3" customFormat="1" ht="15" x14ac:dyDescent="0.25">
      <c r="B107" s="258"/>
      <c r="C107" s="263" t="s">
        <v>268</v>
      </c>
      <c r="D107" s="23" t="s">
        <v>244</v>
      </c>
      <c r="E107" s="26">
        <v>3230.2799999999997</v>
      </c>
      <c r="F107" s="34">
        <v>3190</v>
      </c>
      <c r="G107" s="34">
        <v>3.29</v>
      </c>
      <c r="H107" s="34">
        <v>36.99</v>
      </c>
      <c r="I107" s="27"/>
    </row>
    <row r="108" spans="2:14" s="31" customFormat="1" ht="15" x14ac:dyDescent="0.25">
      <c r="B108" s="258"/>
      <c r="C108" s="264"/>
      <c r="D108" s="23" t="s">
        <v>245</v>
      </c>
      <c r="E108" s="26">
        <v>2.7585700000000002</v>
      </c>
      <c r="F108" s="29">
        <v>2.72417</v>
      </c>
      <c r="G108" s="29">
        <v>2.81E-3</v>
      </c>
      <c r="H108" s="29">
        <v>3.159E-2</v>
      </c>
      <c r="I108" s="27"/>
      <c r="J108" s="3"/>
      <c r="K108" s="3"/>
      <c r="L108" s="3"/>
      <c r="M108" s="3"/>
      <c r="N108" s="3"/>
    </row>
    <row r="109" spans="2:14" s="31" customFormat="1" ht="15" x14ac:dyDescent="0.25">
      <c r="B109" s="258"/>
      <c r="C109" s="264"/>
      <c r="D109" s="23" t="s">
        <v>246</v>
      </c>
      <c r="E109" s="26">
        <v>0.27319000000000004</v>
      </c>
      <c r="F109" s="29">
        <v>0.26978000000000002</v>
      </c>
      <c r="G109" s="29">
        <v>2.7999999999999998E-4</v>
      </c>
      <c r="H109" s="29">
        <v>3.13E-3</v>
      </c>
      <c r="I109" s="27"/>
      <c r="J109" s="3"/>
      <c r="K109" s="3"/>
      <c r="L109" s="3"/>
      <c r="M109" s="3"/>
      <c r="N109" s="3"/>
    </row>
    <row r="110" spans="2:14" s="31" customFormat="1" ht="15" x14ac:dyDescent="0.25">
      <c r="B110" s="258"/>
      <c r="C110" s="265"/>
      <c r="D110" s="23" t="s">
        <v>247</v>
      </c>
      <c r="E110" s="26">
        <v>0.25678999999999996</v>
      </c>
      <c r="F110" s="29">
        <v>0.25358999999999998</v>
      </c>
      <c r="G110" s="29">
        <v>2.5999999999999998E-4</v>
      </c>
      <c r="H110" s="29">
        <v>2.9399999999999999E-3</v>
      </c>
      <c r="I110" s="27"/>
      <c r="J110" s="3"/>
      <c r="K110" s="3"/>
      <c r="L110" s="3"/>
      <c r="M110" s="3"/>
      <c r="N110" s="3"/>
    </row>
    <row r="111" spans="2:14" s="3" customFormat="1" ht="15" x14ac:dyDescent="0.25">
      <c r="B111" s="258"/>
      <c r="C111" s="263" t="s">
        <v>269</v>
      </c>
      <c r="D111" s="23" t="s">
        <v>244</v>
      </c>
      <c r="E111" s="26">
        <v>2944.81</v>
      </c>
      <c r="F111" s="34">
        <v>2933.33</v>
      </c>
      <c r="G111" s="34">
        <v>3.39</v>
      </c>
      <c r="H111" s="34">
        <v>8.09</v>
      </c>
      <c r="I111" s="27"/>
    </row>
    <row r="112" spans="2:14" s="3" customFormat="1" ht="15" x14ac:dyDescent="0.25">
      <c r="B112" s="258"/>
      <c r="C112" s="264"/>
      <c r="D112" s="23" t="s">
        <v>245</v>
      </c>
      <c r="E112" s="47"/>
      <c r="F112" s="47"/>
      <c r="G112" s="47"/>
      <c r="H112" s="47"/>
      <c r="I112" s="27"/>
    </row>
    <row r="113" spans="2:9" s="3" customFormat="1" ht="15" x14ac:dyDescent="0.25">
      <c r="B113" s="258"/>
      <c r="C113" s="264"/>
      <c r="D113" s="23" t="s">
        <v>246</v>
      </c>
      <c r="E113" s="26">
        <v>0.25964999999999999</v>
      </c>
      <c r="F113" s="29">
        <v>0.25863999999999998</v>
      </c>
      <c r="G113" s="29">
        <v>2.9999999999999997E-4</v>
      </c>
      <c r="H113" s="29">
        <v>7.1000000000000002E-4</v>
      </c>
      <c r="I113" s="27"/>
    </row>
    <row r="114" spans="2:9" s="3" customFormat="1" ht="15" x14ac:dyDescent="0.25">
      <c r="B114" s="258"/>
      <c r="C114" s="265"/>
      <c r="D114" s="23" t="s">
        <v>247</v>
      </c>
      <c r="E114" s="26">
        <v>0.24667</v>
      </c>
      <c r="F114" s="29">
        <v>0.24571000000000001</v>
      </c>
      <c r="G114" s="29">
        <v>2.7999999999999998E-4</v>
      </c>
      <c r="H114" s="29">
        <v>6.8000000000000005E-4</v>
      </c>
      <c r="I114" s="27"/>
    </row>
    <row r="115" spans="2:9" s="3" customFormat="1" ht="15" x14ac:dyDescent="0.25">
      <c r="B115" s="258"/>
      <c r="C115" s="263" t="s">
        <v>270</v>
      </c>
      <c r="D115" s="23" t="s">
        <v>244</v>
      </c>
      <c r="E115" s="26">
        <v>3224.57</v>
      </c>
      <c r="F115" s="34">
        <v>3171.09</v>
      </c>
      <c r="G115" s="34">
        <v>3.17</v>
      </c>
      <c r="H115" s="34">
        <v>50.31</v>
      </c>
      <c r="I115" s="27"/>
    </row>
    <row r="116" spans="2:9" ht="15" x14ac:dyDescent="0.25">
      <c r="B116" s="258"/>
      <c r="C116" s="264"/>
      <c r="D116" s="23" t="s">
        <v>245</v>
      </c>
      <c r="E116" s="26">
        <v>2.7536699999999996</v>
      </c>
      <c r="F116" s="34">
        <v>2.7080099999999998</v>
      </c>
      <c r="G116" s="34">
        <v>2.7000000000000001E-3</v>
      </c>
      <c r="H116" s="34">
        <v>4.2959999999999998E-2</v>
      </c>
      <c r="I116" s="27"/>
    </row>
    <row r="117" spans="2:9" ht="15" x14ac:dyDescent="0.25">
      <c r="B117" s="258"/>
      <c r="C117" s="264"/>
      <c r="D117" s="23" t="s">
        <v>246</v>
      </c>
      <c r="E117" s="26">
        <v>0.27503</v>
      </c>
      <c r="F117" s="29">
        <v>0.27046999999999999</v>
      </c>
      <c r="G117" s="29">
        <v>2.7E-4</v>
      </c>
      <c r="H117" s="29">
        <v>4.2900000000000004E-3</v>
      </c>
      <c r="I117" s="27"/>
    </row>
    <row r="118" spans="2:9" ht="15" x14ac:dyDescent="0.25">
      <c r="B118" s="258"/>
      <c r="C118" s="265"/>
      <c r="D118" s="23" t="s">
        <v>247</v>
      </c>
      <c r="E118" s="26">
        <v>0.25681999999999999</v>
      </c>
      <c r="F118" s="29">
        <v>0.25256000000000001</v>
      </c>
      <c r="G118" s="29">
        <v>2.5000000000000001E-4</v>
      </c>
      <c r="H118" s="29">
        <v>4.0099999999999997E-3</v>
      </c>
      <c r="I118" s="27"/>
    </row>
    <row r="119" spans="2:9" ht="15" x14ac:dyDescent="0.25">
      <c r="B119" s="258"/>
      <c r="C119" s="263" t="s">
        <v>271</v>
      </c>
      <c r="D119" s="23" t="s">
        <v>244</v>
      </c>
      <c r="E119" s="26">
        <v>3249.99</v>
      </c>
      <c r="F119" s="34">
        <v>3205.99</v>
      </c>
      <c r="G119" s="34">
        <v>0.81</v>
      </c>
      <c r="H119" s="34">
        <v>43.19</v>
      </c>
      <c r="I119" s="27"/>
    </row>
    <row r="120" spans="2:9" ht="15" x14ac:dyDescent="0.25">
      <c r="B120" s="258"/>
      <c r="C120" s="264"/>
      <c r="D120" s="23" t="s">
        <v>245</v>
      </c>
      <c r="E120" s="26">
        <v>2.7753900000000002</v>
      </c>
      <c r="F120" s="29">
        <v>2.7378200000000001</v>
      </c>
      <c r="G120" s="29">
        <v>6.8999999999999997E-4</v>
      </c>
      <c r="H120" s="29">
        <v>3.6880000000000003E-2</v>
      </c>
      <c r="I120" s="27"/>
    </row>
    <row r="121" spans="2:9" ht="15" x14ac:dyDescent="0.25">
      <c r="B121" s="258"/>
      <c r="C121" s="264"/>
      <c r="D121" s="23" t="s">
        <v>246</v>
      </c>
      <c r="E121" s="26">
        <v>0.27484999999999998</v>
      </c>
      <c r="F121" s="29">
        <v>0.27112999999999998</v>
      </c>
      <c r="G121" s="29">
        <v>6.9999999999999994E-5</v>
      </c>
      <c r="H121" s="29">
        <v>3.65E-3</v>
      </c>
      <c r="I121" s="27"/>
    </row>
    <row r="122" spans="2:9" ht="15" x14ac:dyDescent="0.25">
      <c r="B122" s="258"/>
      <c r="C122" s="265"/>
      <c r="D122" s="23" t="s">
        <v>247</v>
      </c>
      <c r="E122" s="26">
        <v>0.25834999999999997</v>
      </c>
      <c r="F122" s="29">
        <v>0.25485999999999998</v>
      </c>
      <c r="G122" s="29">
        <v>6.0000000000000002E-5</v>
      </c>
      <c r="H122" s="29">
        <v>3.4299999999999999E-3</v>
      </c>
      <c r="I122" s="27"/>
    </row>
    <row r="123" spans="2:9" ht="15" x14ac:dyDescent="0.25">
      <c r="B123" s="258"/>
      <c r="C123" s="263" t="s">
        <v>272</v>
      </c>
      <c r="D123" s="23" t="s">
        <v>244</v>
      </c>
      <c r="E123" s="26">
        <v>3159.4999999999995</v>
      </c>
      <c r="F123" s="34">
        <v>3113.99</v>
      </c>
      <c r="G123" s="34">
        <v>1.27</v>
      </c>
      <c r="H123" s="34">
        <v>44.24</v>
      </c>
      <c r="I123" s="27"/>
    </row>
    <row r="124" spans="2:9" ht="15" x14ac:dyDescent="0.25">
      <c r="B124" s="258"/>
      <c r="C124" s="264"/>
      <c r="D124" s="23" t="s">
        <v>245</v>
      </c>
      <c r="E124" s="26">
        <v>3.10669</v>
      </c>
      <c r="F124" s="29">
        <v>3.0619399999999999</v>
      </c>
      <c r="G124" s="29">
        <v>1.25E-3</v>
      </c>
      <c r="H124" s="29">
        <v>4.3499999999999997E-2</v>
      </c>
      <c r="I124" s="27"/>
    </row>
    <row r="125" spans="2:9" ht="15" x14ac:dyDescent="0.25">
      <c r="B125" s="258"/>
      <c r="C125" s="264"/>
      <c r="D125" s="23" t="s">
        <v>246</v>
      </c>
      <c r="E125" s="26">
        <v>0.27911000000000002</v>
      </c>
      <c r="F125" s="29">
        <v>0.27509</v>
      </c>
      <c r="G125" s="29">
        <v>1.1E-4</v>
      </c>
      <c r="H125" s="29">
        <v>3.9100000000000003E-3</v>
      </c>
      <c r="I125" s="27"/>
    </row>
    <row r="126" spans="2:9" ht="15" x14ac:dyDescent="0.25">
      <c r="B126" s="259"/>
      <c r="C126" s="265"/>
      <c r="D126" s="23" t="s">
        <v>247</v>
      </c>
      <c r="E126" s="26">
        <v>0.26235999999999998</v>
      </c>
      <c r="F126" s="29">
        <v>0.25857999999999998</v>
      </c>
      <c r="G126" s="29">
        <v>1.1E-4</v>
      </c>
      <c r="H126" s="29">
        <v>3.6700000000000001E-3</v>
      </c>
      <c r="I126" s="27"/>
    </row>
    <row r="127" spans="2:9" ht="15" x14ac:dyDescent="0.25">
      <c r="B127" s="31"/>
      <c r="C127" s="31"/>
      <c r="D127" s="31"/>
      <c r="E127" s="32"/>
      <c r="F127" s="32"/>
      <c r="G127" s="32"/>
      <c r="H127" s="32"/>
      <c r="I127" s="3" t="s">
        <v>255</v>
      </c>
    </row>
    <row r="128" spans="2:9" ht="15" x14ac:dyDescent="0.25">
      <c r="B128" s="31"/>
      <c r="C128" s="31"/>
      <c r="D128" s="31"/>
      <c r="E128" s="32"/>
      <c r="F128" s="32"/>
      <c r="G128" s="32"/>
      <c r="H128" s="32"/>
      <c r="I128" s="3" t="s">
        <v>255</v>
      </c>
    </row>
    <row r="129" spans="2:9" ht="15" x14ac:dyDescent="0.25">
      <c r="B129" s="31"/>
      <c r="C129" s="31"/>
      <c r="D129" s="31"/>
      <c r="E129" s="32"/>
      <c r="F129" s="32"/>
      <c r="G129" s="32"/>
      <c r="H129" s="32"/>
      <c r="I129" s="3" t="s">
        <v>255</v>
      </c>
    </row>
    <row r="130" spans="2:9" ht="18" x14ac:dyDescent="0.35">
      <c r="B130" s="22" t="s">
        <v>235</v>
      </c>
      <c r="C130" s="22" t="s">
        <v>236</v>
      </c>
      <c r="D130" s="22" t="s">
        <v>237</v>
      </c>
      <c r="E130" s="23" t="s">
        <v>238</v>
      </c>
      <c r="F130" s="23" t="s">
        <v>239</v>
      </c>
      <c r="G130" s="24" t="s">
        <v>240</v>
      </c>
      <c r="H130" s="24" t="s">
        <v>241</v>
      </c>
    </row>
    <row r="131" spans="2:9" ht="15" x14ac:dyDescent="0.25">
      <c r="B131" s="257" t="s">
        <v>273</v>
      </c>
      <c r="C131" s="275" t="s">
        <v>274</v>
      </c>
      <c r="D131" s="23" t="s">
        <v>244</v>
      </c>
      <c r="E131" s="26">
        <v>2411.4300000000003</v>
      </c>
      <c r="F131" s="34">
        <v>2385.5700000000002</v>
      </c>
      <c r="G131" s="34">
        <v>6.82</v>
      </c>
      <c r="H131" s="34">
        <v>19.04</v>
      </c>
      <c r="I131" s="27"/>
    </row>
    <row r="132" spans="2:9" ht="15" x14ac:dyDescent="0.25">
      <c r="B132" s="258"/>
      <c r="C132" s="276"/>
      <c r="D132" s="23" t="s">
        <v>246</v>
      </c>
      <c r="E132" s="26">
        <v>0.34172000000000002</v>
      </c>
      <c r="F132" s="29">
        <v>0.33805000000000002</v>
      </c>
      <c r="G132" s="29">
        <v>9.7000000000000005E-4</v>
      </c>
      <c r="H132" s="29">
        <v>2.7000000000000001E-3</v>
      </c>
      <c r="I132" s="27"/>
    </row>
    <row r="133" spans="2:9" ht="15" x14ac:dyDescent="0.25">
      <c r="B133" s="258"/>
      <c r="C133" s="277"/>
      <c r="D133" s="23" t="s">
        <v>247</v>
      </c>
      <c r="E133" s="26">
        <v>0.32462999999999997</v>
      </c>
      <c r="F133" s="79">
        <v>0.32114999999999999</v>
      </c>
      <c r="G133" s="29">
        <v>9.2000000000000003E-4</v>
      </c>
      <c r="H133" s="29">
        <v>2.5600000000000002E-3</v>
      </c>
      <c r="I133" s="27"/>
    </row>
    <row r="134" spans="2:9" ht="15" x14ac:dyDescent="0.25">
      <c r="B134" s="258"/>
      <c r="C134" s="278" t="s">
        <v>275</v>
      </c>
      <c r="D134" s="23" t="s">
        <v>244</v>
      </c>
      <c r="E134" s="26">
        <v>2270.4499999999998</v>
      </c>
      <c r="F134" s="34">
        <v>2257.23</v>
      </c>
      <c r="G134" s="34">
        <v>0.6</v>
      </c>
      <c r="H134" s="34">
        <v>12.62</v>
      </c>
      <c r="I134" s="27"/>
    </row>
    <row r="135" spans="2:9" ht="15" x14ac:dyDescent="0.25">
      <c r="B135" s="258"/>
      <c r="C135" s="279"/>
      <c r="D135" s="23" t="s">
        <v>246</v>
      </c>
      <c r="E135" s="26">
        <v>0.33823999999999999</v>
      </c>
      <c r="F135" s="29">
        <v>0.33626</v>
      </c>
      <c r="G135" s="29">
        <v>9.0000000000000006E-5</v>
      </c>
      <c r="H135" s="29">
        <v>1.89E-3</v>
      </c>
      <c r="I135" s="27"/>
    </row>
    <row r="136" spans="2:9" ht="15" x14ac:dyDescent="0.25">
      <c r="B136" s="258"/>
      <c r="C136" s="280"/>
      <c r="D136" s="23" t="s">
        <v>247</v>
      </c>
      <c r="E136" s="26">
        <v>0.32133</v>
      </c>
      <c r="F136" s="29">
        <v>0.31945000000000001</v>
      </c>
      <c r="G136" s="29">
        <v>9.0000000000000006E-5</v>
      </c>
      <c r="H136" s="29">
        <v>1.7899999999999999E-3</v>
      </c>
      <c r="I136" s="27"/>
    </row>
    <row r="137" spans="2:9" ht="15" x14ac:dyDescent="0.25">
      <c r="B137" s="258"/>
      <c r="C137" s="278" t="s">
        <v>276</v>
      </c>
      <c r="D137" s="23" t="s">
        <v>244</v>
      </c>
      <c r="E137" s="26">
        <v>2883.2599999999998</v>
      </c>
      <c r="F137" s="34">
        <v>2632</v>
      </c>
      <c r="G137" s="34">
        <v>214.6</v>
      </c>
      <c r="H137" s="34">
        <v>36.659999999999997</v>
      </c>
      <c r="I137" s="27"/>
    </row>
    <row r="138" spans="2:9" ht="15" x14ac:dyDescent="0.25">
      <c r="B138" s="258"/>
      <c r="C138" s="279"/>
      <c r="D138" s="23" t="s">
        <v>246</v>
      </c>
      <c r="E138" s="26">
        <v>0.36276000000000003</v>
      </c>
      <c r="F138" s="29">
        <v>0.33115</v>
      </c>
      <c r="G138" s="29">
        <v>2.7E-2</v>
      </c>
      <c r="H138" s="29">
        <v>4.6100000000000004E-3</v>
      </c>
      <c r="I138" s="27"/>
    </row>
    <row r="139" spans="2:9" ht="15" x14ac:dyDescent="0.25">
      <c r="B139" s="258"/>
      <c r="C139" s="280"/>
      <c r="D139" s="23" t="s">
        <v>247</v>
      </c>
      <c r="E139" s="26">
        <v>0.34461999999999998</v>
      </c>
      <c r="F139" s="29">
        <v>0.31458999999999998</v>
      </c>
      <c r="G139" s="29">
        <v>2.5649999999999999E-2</v>
      </c>
      <c r="H139" s="29">
        <v>4.3800000000000002E-3</v>
      </c>
      <c r="I139" s="27"/>
    </row>
    <row r="140" spans="2:9" ht="15" x14ac:dyDescent="0.25">
      <c r="B140" s="258"/>
      <c r="C140" s="278" t="s">
        <v>277</v>
      </c>
      <c r="D140" s="23" t="s">
        <v>244</v>
      </c>
      <c r="E140" s="26">
        <v>3165.24</v>
      </c>
      <c r="F140" s="34">
        <v>3144.16</v>
      </c>
      <c r="G140" s="34">
        <v>7.56</v>
      </c>
      <c r="H140" s="34">
        <v>13.52</v>
      </c>
      <c r="I140" s="27"/>
    </row>
    <row r="141" spans="2:9" ht="15" x14ac:dyDescent="0.25">
      <c r="B141" s="258"/>
      <c r="C141" s="279"/>
      <c r="D141" s="23" t="s">
        <v>246</v>
      </c>
      <c r="E141" s="26">
        <v>0.37681999999999999</v>
      </c>
      <c r="F141" s="29">
        <v>0.37430999999999998</v>
      </c>
      <c r="G141" s="29">
        <v>8.9999999999999998E-4</v>
      </c>
      <c r="H141" s="29">
        <v>1.6100000000000001E-3</v>
      </c>
      <c r="I141" s="27"/>
    </row>
    <row r="142" spans="2:9" ht="15" x14ac:dyDescent="0.25">
      <c r="B142" s="258"/>
      <c r="C142" s="280"/>
      <c r="D142" s="23" t="s">
        <v>247</v>
      </c>
      <c r="E142" s="26">
        <v>0.35797000000000001</v>
      </c>
      <c r="F142" s="29">
        <v>0.35559000000000002</v>
      </c>
      <c r="G142" s="29">
        <v>8.4999999999999995E-4</v>
      </c>
      <c r="H142" s="29">
        <v>1.5299999999999999E-3</v>
      </c>
      <c r="I142" s="27"/>
    </row>
    <row r="143" spans="2:9" ht="15" x14ac:dyDescent="0.25">
      <c r="B143" s="258"/>
      <c r="C143" s="275" t="s">
        <v>24</v>
      </c>
      <c r="D143" s="23" t="s">
        <v>244</v>
      </c>
      <c r="E143" s="26">
        <v>3386.8700000000003</v>
      </c>
      <c r="F143" s="34">
        <v>3377.05</v>
      </c>
      <c r="G143" s="34">
        <v>3.42</v>
      </c>
      <c r="H143" s="34">
        <v>6.4</v>
      </c>
      <c r="I143" s="27"/>
    </row>
    <row r="144" spans="2:9" ht="15" x14ac:dyDescent="0.25">
      <c r="B144" s="258"/>
      <c r="C144" s="276"/>
      <c r="D144" s="23" t="s">
        <v>246</v>
      </c>
      <c r="E144" s="26">
        <v>0.35890000000000005</v>
      </c>
      <c r="F144" s="29">
        <v>0.35786000000000001</v>
      </c>
      <c r="G144" s="29">
        <v>3.6000000000000002E-4</v>
      </c>
      <c r="H144" s="29">
        <v>6.8000000000000005E-4</v>
      </c>
      <c r="I144" s="27"/>
    </row>
    <row r="145" spans="2:13" ht="15" x14ac:dyDescent="0.25">
      <c r="B145" s="258"/>
      <c r="C145" s="277"/>
      <c r="D145" s="23" t="s">
        <v>247</v>
      </c>
      <c r="E145" s="26">
        <v>0.34094999999999998</v>
      </c>
      <c r="F145" s="79">
        <v>0.33996999999999999</v>
      </c>
      <c r="G145" s="29">
        <v>3.4000000000000002E-4</v>
      </c>
      <c r="H145" s="29">
        <v>6.4000000000000005E-4</v>
      </c>
      <c r="I145" s="27"/>
    </row>
    <row r="146" spans="2:13" ht="15" x14ac:dyDescent="0.25">
      <c r="B146" s="258"/>
      <c r="C146" s="278" t="s">
        <v>278</v>
      </c>
      <c r="D146" s="23" t="s">
        <v>244</v>
      </c>
      <c r="E146" s="26">
        <v>2266.8999999999996</v>
      </c>
      <c r="F146" s="34">
        <v>2253.6999999999998</v>
      </c>
      <c r="G146" s="34">
        <v>0.6</v>
      </c>
      <c r="H146" s="34">
        <v>12.6</v>
      </c>
      <c r="I146" s="27"/>
    </row>
    <row r="147" spans="2:13" ht="15" x14ac:dyDescent="0.25">
      <c r="B147" s="258"/>
      <c r="C147" s="279"/>
      <c r="D147" s="23" t="s">
        <v>246</v>
      </c>
      <c r="E147" s="26">
        <v>0.33823999999999999</v>
      </c>
      <c r="F147" s="29">
        <v>0.33626</v>
      </c>
      <c r="G147" s="29">
        <v>9.0000000000000006E-5</v>
      </c>
      <c r="H147" s="29">
        <v>1.89E-3</v>
      </c>
      <c r="I147" s="27"/>
    </row>
    <row r="148" spans="2:13" ht="15" x14ac:dyDescent="0.25">
      <c r="B148" s="259"/>
      <c r="C148" s="280"/>
      <c r="D148" s="23" t="s">
        <v>247</v>
      </c>
      <c r="E148" s="26">
        <v>0.32133</v>
      </c>
      <c r="F148" s="29">
        <v>0.31945000000000001</v>
      </c>
      <c r="G148" s="29">
        <v>9.0000000000000006E-5</v>
      </c>
      <c r="H148" s="29">
        <v>1.7899999999999999E-3</v>
      </c>
      <c r="I148" s="27"/>
    </row>
    <row r="150" spans="2:13" ht="15" x14ac:dyDescent="0.2">
      <c r="B150" s="48"/>
      <c r="C150" s="48"/>
      <c r="D150" s="48"/>
      <c r="E150" s="48"/>
      <c r="F150" s="48"/>
      <c r="G150" s="48"/>
      <c r="H150" s="48"/>
      <c r="I150" s="48"/>
      <c r="J150" s="48"/>
      <c r="K150" s="48"/>
      <c r="L150" s="48"/>
      <c r="M150" s="48"/>
    </row>
    <row r="151" spans="2:13" ht="15.75" x14ac:dyDescent="0.2">
      <c r="B151" s="282" t="s">
        <v>279</v>
      </c>
      <c r="C151" s="282"/>
      <c r="D151" s="48"/>
      <c r="E151" s="48"/>
      <c r="F151" s="48"/>
      <c r="G151" s="48"/>
      <c r="H151" s="48"/>
      <c r="I151" s="48"/>
      <c r="J151" s="48"/>
      <c r="K151" s="48"/>
      <c r="L151" s="48"/>
      <c r="M151" s="48"/>
    </row>
    <row r="152" spans="2:13" ht="15" customHeight="1" x14ac:dyDescent="0.2">
      <c r="B152" s="283" t="s">
        <v>280</v>
      </c>
      <c r="C152" s="283"/>
      <c r="D152" s="283"/>
      <c r="E152" s="283"/>
      <c r="F152" s="283"/>
      <c r="G152" s="283"/>
      <c r="H152" s="283"/>
      <c r="I152" s="283"/>
      <c r="J152" s="283"/>
      <c r="K152" s="283"/>
      <c r="L152" s="283"/>
      <c r="M152" s="49"/>
    </row>
    <row r="153" spans="2:13" ht="16.5" customHeight="1" x14ac:dyDescent="0.2">
      <c r="B153" s="284" t="s">
        <v>281</v>
      </c>
      <c r="C153" s="284"/>
      <c r="D153" s="284"/>
      <c r="E153" s="284"/>
      <c r="F153" s="284"/>
      <c r="G153" s="284"/>
      <c r="H153" s="284"/>
      <c r="I153" s="284"/>
      <c r="J153" s="284"/>
      <c r="K153" s="284"/>
      <c r="L153" s="284"/>
      <c r="M153" s="20"/>
    </row>
    <row r="154" spans="2:13" ht="29.25" customHeight="1" x14ac:dyDescent="0.2">
      <c r="B154" s="283" t="s">
        <v>282</v>
      </c>
      <c r="C154" s="283"/>
      <c r="D154" s="283"/>
      <c r="E154" s="283"/>
      <c r="F154" s="283"/>
      <c r="G154" s="283"/>
      <c r="H154" s="283"/>
      <c r="I154" s="283"/>
      <c r="J154" s="283"/>
      <c r="K154" s="283"/>
      <c r="L154" s="283"/>
      <c r="M154" s="49"/>
    </row>
    <row r="155" spans="2:13" s="3" customFormat="1" ht="115.5" customHeight="1" x14ac:dyDescent="0.2">
      <c r="B155" s="239" t="s">
        <v>283</v>
      </c>
      <c r="C155" s="239"/>
      <c r="D155" s="239"/>
      <c r="E155" s="239"/>
      <c r="F155" s="239"/>
      <c r="G155" s="239"/>
      <c r="H155" s="239"/>
      <c r="I155" s="239"/>
      <c r="J155" s="239"/>
      <c r="K155" s="239"/>
      <c r="L155" s="239"/>
      <c r="M155" s="49"/>
    </row>
    <row r="156" spans="2:13" ht="21.75" customHeight="1" x14ac:dyDescent="0.2"/>
    <row r="157" spans="2:13" s="3" customFormat="1" ht="15" x14ac:dyDescent="0.2">
      <c r="B157" s="283" t="s">
        <v>284</v>
      </c>
      <c r="C157" s="283"/>
      <c r="D157" s="283"/>
      <c r="E157" s="283"/>
      <c r="F157" s="283"/>
      <c r="G157" s="283"/>
      <c r="H157" s="283"/>
      <c r="I157" s="283"/>
      <c r="J157" s="283"/>
      <c r="K157" s="283"/>
      <c r="L157" s="283"/>
      <c r="M157" s="49"/>
    </row>
    <row r="158" spans="2:13" ht="73.5" customHeight="1" x14ac:dyDescent="0.2">
      <c r="B158" s="239" t="s">
        <v>285</v>
      </c>
      <c r="C158" s="239"/>
      <c r="D158" s="239"/>
      <c r="E158" s="239"/>
      <c r="F158" s="239"/>
      <c r="G158" s="239"/>
      <c r="H158" s="239"/>
      <c r="I158" s="239"/>
      <c r="J158" s="239"/>
      <c r="K158" s="239"/>
      <c r="L158" s="239"/>
      <c r="M158" s="49"/>
    </row>
    <row r="160" spans="2:13" s="3" customFormat="1" ht="20.25" customHeight="1" x14ac:dyDescent="0.2">
      <c r="B160" s="281" t="s">
        <v>286</v>
      </c>
      <c r="C160" s="281"/>
      <c r="D160" s="281"/>
      <c r="E160" s="281"/>
      <c r="F160" s="281"/>
      <c r="G160" s="281"/>
      <c r="H160" s="281"/>
      <c r="I160" s="281"/>
      <c r="J160" s="281"/>
      <c r="K160" s="281"/>
      <c r="L160" s="281"/>
      <c r="M160" s="281"/>
    </row>
  </sheetData>
  <sheetProtection algorithmName="SHA-512" hashValue="nD22U2WCBYhQKsXweq1iOppr3b81prfivRMCwOX17kfoNi0bGffUxh9XUP70GzoW48ZYZUnE+Jt1sXWT03T18w==" saltValue="iPYLNlT1LPKirLAcjRvcqg==" spinCount="100000" sheet="1" objects="1" scenarios="1"/>
  <mergeCells count="59">
    <mergeCell ref="B158:L158"/>
    <mergeCell ref="B160:M160"/>
    <mergeCell ref="B151:C151"/>
    <mergeCell ref="B152:L152"/>
    <mergeCell ref="B153:L153"/>
    <mergeCell ref="B154:L154"/>
    <mergeCell ref="B155:L155"/>
    <mergeCell ref="B157:L157"/>
    <mergeCell ref="C119:C122"/>
    <mergeCell ref="B131:B148"/>
    <mergeCell ref="C131:C133"/>
    <mergeCell ref="C134:C136"/>
    <mergeCell ref="C137:C139"/>
    <mergeCell ref="C140:C142"/>
    <mergeCell ref="C143:C145"/>
    <mergeCell ref="C146:C148"/>
    <mergeCell ref="C99:C102"/>
    <mergeCell ref="C103:C106"/>
    <mergeCell ref="C107:C110"/>
    <mergeCell ref="C111:C114"/>
    <mergeCell ref="C115:C118"/>
    <mergeCell ref="C79:C82"/>
    <mergeCell ref="C83:C86"/>
    <mergeCell ref="C87:C90"/>
    <mergeCell ref="C91:C94"/>
    <mergeCell ref="C95:C98"/>
    <mergeCell ref="C39:C42"/>
    <mergeCell ref="C43:C46"/>
    <mergeCell ref="C47:C50"/>
    <mergeCell ref="C51:C54"/>
    <mergeCell ref="B59:B126"/>
    <mergeCell ref="C59:C62"/>
    <mergeCell ref="C63:C66"/>
    <mergeCell ref="C67:C70"/>
    <mergeCell ref="C71:C74"/>
    <mergeCell ref="C75:C78"/>
    <mergeCell ref="B23:B54"/>
    <mergeCell ref="C23:C26"/>
    <mergeCell ref="C27:C30"/>
    <mergeCell ref="C31:C34"/>
    <mergeCell ref="C35:C38"/>
    <mergeCell ref="C123:C126"/>
    <mergeCell ref="B16:M16"/>
    <mergeCell ref="B17:M17"/>
    <mergeCell ref="B18:M18"/>
    <mergeCell ref="B19:M19"/>
    <mergeCell ref="B20:M20"/>
    <mergeCell ref="B15:M15"/>
    <mergeCell ref="A1:F1"/>
    <mergeCell ref="G1:L1"/>
    <mergeCell ref="M1:R1"/>
    <mergeCell ref="A2:F2"/>
    <mergeCell ref="B8:M8"/>
    <mergeCell ref="B10:M10"/>
    <mergeCell ref="B11:M11"/>
    <mergeCell ref="B12:M12"/>
    <mergeCell ref="N12:Y12"/>
    <mergeCell ref="B13:M13"/>
    <mergeCell ref="B14:M14"/>
  </mergeCells>
  <hyperlinks>
    <hyperlink ref="A3" location="Index!A1" display="Index" xr:uid="{D04111EF-4D4E-405B-B873-AD0439DCB2C1}"/>
    <hyperlink ref="B20:M20" location="'Outside of scopes'!A1" display="(For more information refer to the ‘outside of scopes’ tab for guidance)." xr:uid="{0F002933-C00E-41C0-88C0-EABA0CD11117}"/>
    <hyperlink ref="B12:M12" r:id="rId1" display="●  'Diesel (average biofuel blend)'/'diesel (100% mineral oil)' - typically organisations purchasing forecourt fuel should use 'diesel (average biofuel blend)'. It should be noted that any fuel an organisation reports in Scope 1 that has biofuel content m" xr:uid="{B81D02E4-25F7-4D17-B72C-7F066B3C0791}"/>
    <hyperlink ref="B153:L153" location="Conversions!A1" display="Defra provide a specific conversion table at the back of these listings to allow organisations to convert the conversion factors into different units where required.   Please see the ‘conversions’ listing." xr:uid="{787E04F5-D025-4DD5-B755-2339DA8DD28F}"/>
  </hyperlinks>
  <pageMargins left="0.7" right="0.7" top="0.75" bottom="0.75" header="0.3" footer="0.3"/>
  <pageSetup paperSize="9" scale="38" fitToHeight="0" orientation="landscape" r:id="rId2"/>
  <headerFooter alignWithMargins="0"/>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9D602-997F-4A3C-A06F-91525E79AC7B}">
  <sheetPr codeName="Sheet33">
    <tabColor theme="0" tint="-0.14999847407452621"/>
  </sheetPr>
  <dimension ref="A1:P61"/>
  <sheetViews>
    <sheetView topLeftCell="B7" zoomScaleNormal="100" workbookViewId="0">
      <selection activeCell="K17" sqref="K17"/>
    </sheetView>
  </sheetViews>
  <sheetFormatPr defaultColWidth="7.21875" defaultRowHeight="15" x14ac:dyDescent="0.25"/>
  <cols>
    <col min="1" max="1" width="4.33203125" style="51" customWidth="1"/>
    <col min="2" max="2" width="14.5546875" style="51" customWidth="1"/>
    <col min="3" max="3" width="39.6640625" style="51" customWidth="1"/>
    <col min="4" max="4" width="16.77734375" style="51" customWidth="1"/>
    <col min="5" max="8" width="10.44140625" style="51" customWidth="1"/>
    <col min="9" max="9" width="6.77734375" style="51" customWidth="1"/>
    <col min="10" max="11" width="10.44140625" style="51" customWidth="1"/>
    <col min="12" max="12" width="6.6640625" style="51" customWidth="1"/>
    <col min="13" max="14" width="8.21875" style="51" customWidth="1"/>
    <col min="15" max="15" width="2" style="51" customWidth="1"/>
    <col min="16" max="16" width="5.77734375" style="93" customWidth="1"/>
    <col min="17" max="256" width="7.21875" style="51"/>
    <col min="257" max="257" width="4.33203125" style="51" customWidth="1"/>
    <col min="258" max="258" width="14.5546875" style="51" customWidth="1"/>
    <col min="259" max="259" width="39.6640625" style="51" customWidth="1"/>
    <col min="260" max="260" width="16.77734375" style="51" customWidth="1"/>
    <col min="261" max="264" width="10.44140625" style="51" customWidth="1"/>
    <col min="265" max="265" width="6.77734375" style="51" customWidth="1"/>
    <col min="266" max="267" width="10.44140625" style="51" customWidth="1"/>
    <col min="268" max="268" width="6.6640625" style="51" customWidth="1"/>
    <col min="269" max="270" width="8.21875" style="51" customWidth="1"/>
    <col min="271" max="271" width="2" style="51" customWidth="1"/>
    <col min="272" max="272" width="5.77734375" style="51" customWidth="1"/>
    <col min="273" max="512" width="7.21875" style="51"/>
    <col min="513" max="513" width="4.33203125" style="51" customWidth="1"/>
    <col min="514" max="514" width="14.5546875" style="51" customWidth="1"/>
    <col min="515" max="515" width="39.6640625" style="51" customWidth="1"/>
    <col min="516" max="516" width="16.77734375" style="51" customWidth="1"/>
    <col min="517" max="520" width="10.44140625" style="51" customWidth="1"/>
    <col min="521" max="521" width="6.77734375" style="51" customWidth="1"/>
    <col min="522" max="523" width="10.44140625" style="51" customWidth="1"/>
    <col min="524" max="524" width="6.6640625" style="51" customWidth="1"/>
    <col min="525" max="526" width="8.21875" style="51" customWidth="1"/>
    <col min="527" max="527" width="2" style="51" customWidth="1"/>
    <col min="528" max="528" width="5.77734375" style="51" customWidth="1"/>
    <col min="529" max="768" width="7.21875" style="51"/>
    <col min="769" max="769" width="4.33203125" style="51" customWidth="1"/>
    <col min="770" max="770" width="14.5546875" style="51" customWidth="1"/>
    <col min="771" max="771" width="39.6640625" style="51" customWidth="1"/>
    <col min="772" max="772" width="16.77734375" style="51" customWidth="1"/>
    <col min="773" max="776" width="10.44140625" style="51" customWidth="1"/>
    <col min="777" max="777" width="6.77734375" style="51" customWidth="1"/>
    <col min="778" max="779" width="10.44140625" style="51" customWidth="1"/>
    <col min="780" max="780" width="6.6640625" style="51" customWidth="1"/>
    <col min="781" max="782" width="8.21875" style="51" customWidth="1"/>
    <col min="783" max="783" width="2" style="51" customWidth="1"/>
    <col min="784" max="784" width="5.77734375" style="51" customWidth="1"/>
    <col min="785" max="1024" width="7.21875" style="51"/>
    <col min="1025" max="1025" width="4.33203125" style="51" customWidth="1"/>
    <col min="1026" max="1026" width="14.5546875" style="51" customWidth="1"/>
    <col min="1027" max="1027" width="39.6640625" style="51" customWidth="1"/>
    <col min="1028" max="1028" width="16.77734375" style="51" customWidth="1"/>
    <col min="1029" max="1032" width="10.44140625" style="51" customWidth="1"/>
    <col min="1033" max="1033" width="6.77734375" style="51" customWidth="1"/>
    <col min="1034" max="1035" width="10.44140625" style="51" customWidth="1"/>
    <col min="1036" max="1036" width="6.6640625" style="51" customWidth="1"/>
    <col min="1037" max="1038" width="8.21875" style="51" customWidth="1"/>
    <col min="1039" max="1039" width="2" style="51" customWidth="1"/>
    <col min="1040" max="1040" width="5.77734375" style="51" customWidth="1"/>
    <col min="1041" max="1280" width="7.21875" style="51"/>
    <col min="1281" max="1281" width="4.33203125" style="51" customWidth="1"/>
    <col min="1282" max="1282" width="14.5546875" style="51" customWidth="1"/>
    <col min="1283" max="1283" width="39.6640625" style="51" customWidth="1"/>
    <col min="1284" max="1284" width="16.77734375" style="51" customWidth="1"/>
    <col min="1285" max="1288" width="10.44140625" style="51" customWidth="1"/>
    <col min="1289" max="1289" width="6.77734375" style="51" customWidth="1"/>
    <col min="1290" max="1291" width="10.44140625" style="51" customWidth="1"/>
    <col min="1292" max="1292" width="6.6640625" style="51" customWidth="1"/>
    <col min="1293" max="1294" width="8.21875" style="51" customWidth="1"/>
    <col min="1295" max="1295" width="2" style="51" customWidth="1"/>
    <col min="1296" max="1296" width="5.77734375" style="51" customWidth="1"/>
    <col min="1297" max="1536" width="7.21875" style="51"/>
    <col min="1537" max="1537" width="4.33203125" style="51" customWidth="1"/>
    <col min="1538" max="1538" width="14.5546875" style="51" customWidth="1"/>
    <col min="1539" max="1539" width="39.6640625" style="51" customWidth="1"/>
    <col min="1540" max="1540" width="16.77734375" style="51" customWidth="1"/>
    <col min="1541" max="1544" width="10.44140625" style="51" customWidth="1"/>
    <col min="1545" max="1545" width="6.77734375" style="51" customWidth="1"/>
    <col min="1546" max="1547" width="10.44140625" style="51" customWidth="1"/>
    <col min="1548" max="1548" width="6.6640625" style="51" customWidth="1"/>
    <col min="1549" max="1550" width="8.21875" style="51" customWidth="1"/>
    <col min="1551" max="1551" width="2" style="51" customWidth="1"/>
    <col min="1552" max="1552" width="5.77734375" style="51" customWidth="1"/>
    <col min="1553" max="1792" width="7.21875" style="51"/>
    <col min="1793" max="1793" width="4.33203125" style="51" customWidth="1"/>
    <col min="1794" max="1794" width="14.5546875" style="51" customWidth="1"/>
    <col min="1795" max="1795" width="39.6640625" style="51" customWidth="1"/>
    <col min="1796" max="1796" width="16.77734375" style="51" customWidth="1"/>
    <col min="1797" max="1800" width="10.44140625" style="51" customWidth="1"/>
    <col min="1801" max="1801" width="6.77734375" style="51" customWidth="1"/>
    <col min="1802" max="1803" width="10.44140625" style="51" customWidth="1"/>
    <col min="1804" max="1804" width="6.6640625" style="51" customWidth="1"/>
    <col min="1805" max="1806" width="8.21875" style="51" customWidth="1"/>
    <col min="1807" max="1807" width="2" style="51" customWidth="1"/>
    <col min="1808" max="1808" width="5.77734375" style="51" customWidth="1"/>
    <col min="1809" max="2048" width="7.21875" style="51"/>
    <col min="2049" max="2049" width="4.33203125" style="51" customWidth="1"/>
    <col min="2050" max="2050" width="14.5546875" style="51" customWidth="1"/>
    <col min="2051" max="2051" width="39.6640625" style="51" customWidth="1"/>
    <col min="2052" max="2052" width="16.77734375" style="51" customWidth="1"/>
    <col min="2053" max="2056" width="10.44140625" style="51" customWidth="1"/>
    <col min="2057" max="2057" width="6.77734375" style="51" customWidth="1"/>
    <col min="2058" max="2059" width="10.44140625" style="51" customWidth="1"/>
    <col min="2060" max="2060" width="6.6640625" style="51" customWidth="1"/>
    <col min="2061" max="2062" width="8.21875" style="51" customWidth="1"/>
    <col min="2063" max="2063" width="2" style="51" customWidth="1"/>
    <col min="2064" max="2064" width="5.77734375" style="51" customWidth="1"/>
    <col min="2065" max="2304" width="7.21875" style="51"/>
    <col min="2305" max="2305" width="4.33203125" style="51" customWidth="1"/>
    <col min="2306" max="2306" width="14.5546875" style="51" customWidth="1"/>
    <col min="2307" max="2307" width="39.6640625" style="51" customWidth="1"/>
    <col min="2308" max="2308" width="16.77734375" style="51" customWidth="1"/>
    <col min="2309" max="2312" width="10.44140625" style="51" customWidth="1"/>
    <col min="2313" max="2313" width="6.77734375" style="51" customWidth="1"/>
    <col min="2314" max="2315" width="10.44140625" style="51" customWidth="1"/>
    <col min="2316" max="2316" width="6.6640625" style="51" customWidth="1"/>
    <col min="2317" max="2318" width="8.21875" style="51" customWidth="1"/>
    <col min="2319" max="2319" width="2" style="51" customWidth="1"/>
    <col min="2320" max="2320" width="5.77734375" style="51" customWidth="1"/>
    <col min="2321" max="2560" width="7.21875" style="51"/>
    <col min="2561" max="2561" width="4.33203125" style="51" customWidth="1"/>
    <col min="2562" max="2562" width="14.5546875" style="51" customWidth="1"/>
    <col min="2563" max="2563" width="39.6640625" style="51" customWidth="1"/>
    <col min="2564" max="2564" width="16.77734375" style="51" customWidth="1"/>
    <col min="2565" max="2568" width="10.44140625" style="51" customWidth="1"/>
    <col min="2569" max="2569" width="6.77734375" style="51" customWidth="1"/>
    <col min="2570" max="2571" width="10.44140625" style="51" customWidth="1"/>
    <col min="2572" max="2572" width="6.6640625" style="51" customWidth="1"/>
    <col min="2573" max="2574" width="8.21875" style="51" customWidth="1"/>
    <col min="2575" max="2575" width="2" style="51" customWidth="1"/>
    <col min="2576" max="2576" width="5.77734375" style="51" customWidth="1"/>
    <col min="2577" max="2816" width="7.21875" style="51"/>
    <col min="2817" max="2817" width="4.33203125" style="51" customWidth="1"/>
    <col min="2818" max="2818" width="14.5546875" style="51" customWidth="1"/>
    <col min="2819" max="2819" width="39.6640625" style="51" customWidth="1"/>
    <col min="2820" max="2820" width="16.77734375" style="51" customWidth="1"/>
    <col min="2821" max="2824" width="10.44140625" style="51" customWidth="1"/>
    <col min="2825" max="2825" width="6.77734375" style="51" customWidth="1"/>
    <col min="2826" max="2827" width="10.44140625" style="51" customWidth="1"/>
    <col min="2828" max="2828" width="6.6640625" style="51" customWidth="1"/>
    <col min="2829" max="2830" width="8.21875" style="51" customWidth="1"/>
    <col min="2831" max="2831" width="2" style="51" customWidth="1"/>
    <col min="2832" max="2832" width="5.77734375" style="51" customWidth="1"/>
    <col min="2833" max="3072" width="7.21875" style="51"/>
    <col min="3073" max="3073" width="4.33203125" style="51" customWidth="1"/>
    <col min="3074" max="3074" width="14.5546875" style="51" customWidth="1"/>
    <col min="3075" max="3075" width="39.6640625" style="51" customWidth="1"/>
    <col min="3076" max="3076" width="16.77734375" style="51" customWidth="1"/>
    <col min="3077" max="3080" width="10.44140625" style="51" customWidth="1"/>
    <col min="3081" max="3081" width="6.77734375" style="51" customWidth="1"/>
    <col min="3082" max="3083" width="10.44140625" style="51" customWidth="1"/>
    <col min="3084" max="3084" width="6.6640625" style="51" customWidth="1"/>
    <col min="3085" max="3086" width="8.21875" style="51" customWidth="1"/>
    <col min="3087" max="3087" width="2" style="51" customWidth="1"/>
    <col min="3088" max="3088" width="5.77734375" style="51" customWidth="1"/>
    <col min="3089" max="3328" width="7.21875" style="51"/>
    <col min="3329" max="3329" width="4.33203125" style="51" customWidth="1"/>
    <col min="3330" max="3330" width="14.5546875" style="51" customWidth="1"/>
    <col min="3331" max="3331" width="39.6640625" style="51" customWidth="1"/>
    <col min="3332" max="3332" width="16.77734375" style="51" customWidth="1"/>
    <col min="3333" max="3336" width="10.44140625" style="51" customWidth="1"/>
    <col min="3337" max="3337" width="6.77734375" style="51" customWidth="1"/>
    <col min="3338" max="3339" width="10.44140625" style="51" customWidth="1"/>
    <col min="3340" max="3340" width="6.6640625" style="51" customWidth="1"/>
    <col min="3341" max="3342" width="8.21875" style="51" customWidth="1"/>
    <col min="3343" max="3343" width="2" style="51" customWidth="1"/>
    <col min="3344" max="3344" width="5.77734375" style="51" customWidth="1"/>
    <col min="3345" max="3584" width="7.21875" style="51"/>
    <col min="3585" max="3585" width="4.33203125" style="51" customWidth="1"/>
    <col min="3586" max="3586" width="14.5546875" style="51" customWidth="1"/>
    <col min="3587" max="3587" width="39.6640625" style="51" customWidth="1"/>
    <col min="3588" max="3588" width="16.77734375" style="51" customWidth="1"/>
    <col min="3589" max="3592" width="10.44140625" style="51" customWidth="1"/>
    <col min="3593" max="3593" width="6.77734375" style="51" customWidth="1"/>
    <col min="3594" max="3595" width="10.44140625" style="51" customWidth="1"/>
    <col min="3596" max="3596" width="6.6640625" style="51" customWidth="1"/>
    <col min="3597" max="3598" width="8.21875" style="51" customWidth="1"/>
    <col min="3599" max="3599" width="2" style="51" customWidth="1"/>
    <col min="3600" max="3600" width="5.77734375" style="51" customWidth="1"/>
    <col min="3601" max="3840" width="7.21875" style="51"/>
    <col min="3841" max="3841" width="4.33203125" style="51" customWidth="1"/>
    <col min="3842" max="3842" width="14.5546875" style="51" customWidth="1"/>
    <col min="3843" max="3843" width="39.6640625" style="51" customWidth="1"/>
    <col min="3844" max="3844" width="16.77734375" style="51" customWidth="1"/>
    <col min="3845" max="3848" width="10.44140625" style="51" customWidth="1"/>
    <col min="3849" max="3849" width="6.77734375" style="51" customWidth="1"/>
    <col min="3850" max="3851" width="10.44140625" style="51" customWidth="1"/>
    <col min="3852" max="3852" width="6.6640625" style="51" customWidth="1"/>
    <col min="3853" max="3854" width="8.21875" style="51" customWidth="1"/>
    <col min="3855" max="3855" width="2" style="51" customWidth="1"/>
    <col min="3856" max="3856" width="5.77734375" style="51" customWidth="1"/>
    <col min="3857" max="4096" width="7.21875" style="51"/>
    <col min="4097" max="4097" width="4.33203125" style="51" customWidth="1"/>
    <col min="4098" max="4098" width="14.5546875" style="51" customWidth="1"/>
    <col min="4099" max="4099" width="39.6640625" style="51" customWidth="1"/>
    <col min="4100" max="4100" width="16.77734375" style="51" customWidth="1"/>
    <col min="4101" max="4104" width="10.44140625" style="51" customWidth="1"/>
    <col min="4105" max="4105" width="6.77734375" style="51" customWidth="1"/>
    <col min="4106" max="4107" width="10.44140625" style="51" customWidth="1"/>
    <col min="4108" max="4108" width="6.6640625" style="51" customWidth="1"/>
    <col min="4109" max="4110" width="8.21875" style="51" customWidth="1"/>
    <col min="4111" max="4111" width="2" style="51" customWidth="1"/>
    <col min="4112" max="4112" width="5.77734375" style="51" customWidth="1"/>
    <col min="4113" max="4352" width="7.21875" style="51"/>
    <col min="4353" max="4353" width="4.33203125" style="51" customWidth="1"/>
    <col min="4354" max="4354" width="14.5546875" style="51" customWidth="1"/>
    <col min="4355" max="4355" width="39.6640625" style="51" customWidth="1"/>
    <col min="4356" max="4356" width="16.77734375" style="51" customWidth="1"/>
    <col min="4357" max="4360" width="10.44140625" style="51" customWidth="1"/>
    <col min="4361" max="4361" width="6.77734375" style="51" customWidth="1"/>
    <col min="4362" max="4363" width="10.44140625" style="51" customWidth="1"/>
    <col min="4364" max="4364" width="6.6640625" style="51" customWidth="1"/>
    <col min="4365" max="4366" width="8.21875" style="51" customWidth="1"/>
    <col min="4367" max="4367" width="2" style="51" customWidth="1"/>
    <col min="4368" max="4368" width="5.77734375" style="51" customWidth="1"/>
    <col min="4369" max="4608" width="7.21875" style="51"/>
    <col min="4609" max="4609" width="4.33203125" style="51" customWidth="1"/>
    <col min="4610" max="4610" width="14.5546875" style="51" customWidth="1"/>
    <col min="4611" max="4611" width="39.6640625" style="51" customWidth="1"/>
    <col min="4612" max="4612" width="16.77734375" style="51" customWidth="1"/>
    <col min="4613" max="4616" width="10.44140625" style="51" customWidth="1"/>
    <col min="4617" max="4617" width="6.77734375" style="51" customWidth="1"/>
    <col min="4618" max="4619" width="10.44140625" style="51" customWidth="1"/>
    <col min="4620" max="4620" width="6.6640625" style="51" customWidth="1"/>
    <col min="4621" max="4622" width="8.21875" style="51" customWidth="1"/>
    <col min="4623" max="4623" width="2" style="51" customWidth="1"/>
    <col min="4624" max="4624" width="5.77734375" style="51" customWidth="1"/>
    <col min="4625" max="4864" width="7.21875" style="51"/>
    <col min="4865" max="4865" width="4.33203125" style="51" customWidth="1"/>
    <col min="4866" max="4866" width="14.5546875" style="51" customWidth="1"/>
    <col min="4867" max="4867" width="39.6640625" style="51" customWidth="1"/>
    <col min="4868" max="4868" width="16.77734375" style="51" customWidth="1"/>
    <col min="4869" max="4872" width="10.44140625" style="51" customWidth="1"/>
    <col min="4873" max="4873" width="6.77734375" style="51" customWidth="1"/>
    <col min="4874" max="4875" width="10.44140625" style="51" customWidth="1"/>
    <col min="4876" max="4876" width="6.6640625" style="51" customWidth="1"/>
    <col min="4877" max="4878" width="8.21875" style="51" customWidth="1"/>
    <col min="4879" max="4879" width="2" style="51" customWidth="1"/>
    <col min="4880" max="4880" width="5.77734375" style="51" customWidth="1"/>
    <col min="4881" max="5120" width="7.21875" style="51"/>
    <col min="5121" max="5121" width="4.33203125" style="51" customWidth="1"/>
    <col min="5122" max="5122" width="14.5546875" style="51" customWidth="1"/>
    <col min="5123" max="5123" width="39.6640625" style="51" customWidth="1"/>
    <col min="5124" max="5124" width="16.77734375" style="51" customWidth="1"/>
    <col min="5125" max="5128" width="10.44140625" style="51" customWidth="1"/>
    <col min="5129" max="5129" width="6.77734375" style="51" customWidth="1"/>
    <col min="5130" max="5131" width="10.44140625" style="51" customWidth="1"/>
    <col min="5132" max="5132" width="6.6640625" style="51" customWidth="1"/>
    <col min="5133" max="5134" width="8.21875" style="51" customWidth="1"/>
    <col min="5135" max="5135" width="2" style="51" customWidth="1"/>
    <col min="5136" max="5136" width="5.77734375" style="51" customWidth="1"/>
    <col min="5137" max="5376" width="7.21875" style="51"/>
    <col min="5377" max="5377" width="4.33203125" style="51" customWidth="1"/>
    <col min="5378" max="5378" width="14.5546875" style="51" customWidth="1"/>
    <col min="5379" max="5379" width="39.6640625" style="51" customWidth="1"/>
    <col min="5380" max="5380" width="16.77734375" style="51" customWidth="1"/>
    <col min="5381" max="5384" width="10.44140625" style="51" customWidth="1"/>
    <col min="5385" max="5385" width="6.77734375" style="51" customWidth="1"/>
    <col min="5386" max="5387" width="10.44140625" style="51" customWidth="1"/>
    <col min="5388" max="5388" width="6.6640625" style="51" customWidth="1"/>
    <col min="5389" max="5390" width="8.21875" style="51" customWidth="1"/>
    <col min="5391" max="5391" width="2" style="51" customWidth="1"/>
    <col min="5392" max="5392" width="5.77734375" style="51" customWidth="1"/>
    <col min="5393" max="5632" width="7.21875" style="51"/>
    <col min="5633" max="5633" width="4.33203125" style="51" customWidth="1"/>
    <col min="5634" max="5634" width="14.5546875" style="51" customWidth="1"/>
    <col min="5635" max="5635" width="39.6640625" style="51" customWidth="1"/>
    <col min="5636" max="5636" width="16.77734375" style="51" customWidth="1"/>
    <col min="5637" max="5640" width="10.44140625" style="51" customWidth="1"/>
    <col min="5641" max="5641" width="6.77734375" style="51" customWidth="1"/>
    <col min="5642" max="5643" width="10.44140625" style="51" customWidth="1"/>
    <col min="5644" max="5644" width="6.6640625" style="51" customWidth="1"/>
    <col min="5645" max="5646" width="8.21875" style="51" customWidth="1"/>
    <col min="5647" max="5647" width="2" style="51" customWidth="1"/>
    <col min="5648" max="5648" width="5.77734375" style="51" customWidth="1"/>
    <col min="5649" max="5888" width="7.21875" style="51"/>
    <col min="5889" max="5889" width="4.33203125" style="51" customWidth="1"/>
    <col min="5890" max="5890" width="14.5546875" style="51" customWidth="1"/>
    <col min="5891" max="5891" width="39.6640625" style="51" customWidth="1"/>
    <col min="5892" max="5892" width="16.77734375" style="51" customWidth="1"/>
    <col min="5893" max="5896" width="10.44140625" style="51" customWidth="1"/>
    <col min="5897" max="5897" width="6.77734375" style="51" customWidth="1"/>
    <col min="5898" max="5899" width="10.44140625" style="51" customWidth="1"/>
    <col min="5900" max="5900" width="6.6640625" style="51" customWidth="1"/>
    <col min="5901" max="5902" width="8.21875" style="51" customWidth="1"/>
    <col min="5903" max="5903" width="2" style="51" customWidth="1"/>
    <col min="5904" max="5904" width="5.77734375" style="51" customWidth="1"/>
    <col min="5905" max="6144" width="7.21875" style="51"/>
    <col min="6145" max="6145" width="4.33203125" style="51" customWidth="1"/>
    <col min="6146" max="6146" width="14.5546875" style="51" customWidth="1"/>
    <col min="6147" max="6147" width="39.6640625" style="51" customWidth="1"/>
    <col min="6148" max="6148" width="16.77734375" style="51" customWidth="1"/>
    <col min="6149" max="6152" width="10.44140625" style="51" customWidth="1"/>
    <col min="6153" max="6153" width="6.77734375" style="51" customWidth="1"/>
    <col min="6154" max="6155" width="10.44140625" style="51" customWidth="1"/>
    <col min="6156" max="6156" width="6.6640625" style="51" customWidth="1"/>
    <col min="6157" max="6158" width="8.21875" style="51" customWidth="1"/>
    <col min="6159" max="6159" width="2" style="51" customWidth="1"/>
    <col min="6160" max="6160" width="5.77734375" style="51" customWidth="1"/>
    <col min="6161" max="6400" width="7.21875" style="51"/>
    <col min="6401" max="6401" width="4.33203125" style="51" customWidth="1"/>
    <col min="6402" max="6402" width="14.5546875" style="51" customWidth="1"/>
    <col min="6403" max="6403" width="39.6640625" style="51" customWidth="1"/>
    <col min="6404" max="6404" width="16.77734375" style="51" customWidth="1"/>
    <col min="6405" max="6408" width="10.44140625" style="51" customWidth="1"/>
    <col min="6409" max="6409" width="6.77734375" style="51" customWidth="1"/>
    <col min="6410" max="6411" width="10.44140625" style="51" customWidth="1"/>
    <col min="6412" max="6412" width="6.6640625" style="51" customWidth="1"/>
    <col min="6413" max="6414" width="8.21875" style="51" customWidth="1"/>
    <col min="6415" max="6415" width="2" style="51" customWidth="1"/>
    <col min="6416" max="6416" width="5.77734375" style="51" customWidth="1"/>
    <col min="6417" max="6656" width="7.21875" style="51"/>
    <col min="6657" max="6657" width="4.33203125" style="51" customWidth="1"/>
    <col min="6658" max="6658" width="14.5546875" style="51" customWidth="1"/>
    <col min="6659" max="6659" width="39.6640625" style="51" customWidth="1"/>
    <col min="6660" max="6660" width="16.77734375" style="51" customWidth="1"/>
    <col min="6661" max="6664" width="10.44140625" style="51" customWidth="1"/>
    <col min="6665" max="6665" width="6.77734375" style="51" customWidth="1"/>
    <col min="6666" max="6667" width="10.44140625" style="51" customWidth="1"/>
    <col min="6668" max="6668" width="6.6640625" style="51" customWidth="1"/>
    <col min="6669" max="6670" width="8.21875" style="51" customWidth="1"/>
    <col min="6671" max="6671" width="2" style="51" customWidth="1"/>
    <col min="6672" max="6672" width="5.77734375" style="51" customWidth="1"/>
    <col min="6673" max="6912" width="7.21875" style="51"/>
    <col min="6913" max="6913" width="4.33203125" style="51" customWidth="1"/>
    <col min="6914" max="6914" width="14.5546875" style="51" customWidth="1"/>
    <col min="6915" max="6915" width="39.6640625" style="51" customWidth="1"/>
    <col min="6916" max="6916" width="16.77734375" style="51" customWidth="1"/>
    <col min="6917" max="6920" width="10.44140625" style="51" customWidth="1"/>
    <col min="6921" max="6921" width="6.77734375" style="51" customWidth="1"/>
    <col min="6922" max="6923" width="10.44140625" style="51" customWidth="1"/>
    <col min="6924" max="6924" width="6.6640625" style="51" customWidth="1"/>
    <col min="6925" max="6926" width="8.21875" style="51" customWidth="1"/>
    <col min="6927" max="6927" width="2" style="51" customWidth="1"/>
    <col min="6928" max="6928" width="5.77734375" style="51" customWidth="1"/>
    <col min="6929" max="7168" width="7.21875" style="51"/>
    <col min="7169" max="7169" width="4.33203125" style="51" customWidth="1"/>
    <col min="7170" max="7170" width="14.5546875" style="51" customWidth="1"/>
    <col min="7171" max="7171" width="39.6640625" style="51" customWidth="1"/>
    <col min="7172" max="7172" width="16.77734375" style="51" customWidth="1"/>
    <col min="7173" max="7176" width="10.44140625" style="51" customWidth="1"/>
    <col min="7177" max="7177" width="6.77734375" style="51" customWidth="1"/>
    <col min="7178" max="7179" width="10.44140625" style="51" customWidth="1"/>
    <col min="7180" max="7180" width="6.6640625" style="51" customWidth="1"/>
    <col min="7181" max="7182" width="8.21875" style="51" customWidth="1"/>
    <col min="7183" max="7183" width="2" style="51" customWidth="1"/>
    <col min="7184" max="7184" width="5.77734375" style="51" customWidth="1"/>
    <col min="7185" max="7424" width="7.21875" style="51"/>
    <col min="7425" max="7425" width="4.33203125" style="51" customWidth="1"/>
    <col min="7426" max="7426" width="14.5546875" style="51" customWidth="1"/>
    <col min="7427" max="7427" width="39.6640625" style="51" customWidth="1"/>
    <col min="7428" max="7428" width="16.77734375" style="51" customWidth="1"/>
    <col min="7429" max="7432" width="10.44140625" style="51" customWidth="1"/>
    <col min="7433" max="7433" width="6.77734375" style="51" customWidth="1"/>
    <col min="7434" max="7435" width="10.44140625" style="51" customWidth="1"/>
    <col min="7436" max="7436" width="6.6640625" style="51" customWidth="1"/>
    <col min="7437" max="7438" width="8.21875" style="51" customWidth="1"/>
    <col min="7439" max="7439" width="2" style="51" customWidth="1"/>
    <col min="7440" max="7440" width="5.77734375" style="51" customWidth="1"/>
    <col min="7441" max="7680" width="7.21875" style="51"/>
    <col min="7681" max="7681" width="4.33203125" style="51" customWidth="1"/>
    <col min="7682" max="7682" width="14.5546875" style="51" customWidth="1"/>
    <col min="7683" max="7683" width="39.6640625" style="51" customWidth="1"/>
    <col min="7684" max="7684" width="16.77734375" style="51" customWidth="1"/>
    <col min="7685" max="7688" width="10.44140625" style="51" customWidth="1"/>
    <col min="7689" max="7689" width="6.77734375" style="51" customWidth="1"/>
    <col min="7690" max="7691" width="10.44140625" style="51" customWidth="1"/>
    <col min="7692" max="7692" width="6.6640625" style="51" customWidth="1"/>
    <col min="7693" max="7694" width="8.21875" style="51" customWidth="1"/>
    <col min="7695" max="7695" width="2" style="51" customWidth="1"/>
    <col min="7696" max="7696" width="5.77734375" style="51" customWidth="1"/>
    <col min="7697" max="7936" width="7.21875" style="51"/>
    <col min="7937" max="7937" width="4.33203125" style="51" customWidth="1"/>
    <col min="7938" max="7938" width="14.5546875" style="51" customWidth="1"/>
    <col min="7939" max="7939" width="39.6640625" style="51" customWidth="1"/>
    <col min="7940" max="7940" width="16.77734375" style="51" customWidth="1"/>
    <col min="7941" max="7944" width="10.44140625" style="51" customWidth="1"/>
    <col min="7945" max="7945" width="6.77734375" style="51" customWidth="1"/>
    <col min="7946" max="7947" width="10.44140625" style="51" customWidth="1"/>
    <col min="7948" max="7948" width="6.6640625" style="51" customWidth="1"/>
    <col min="7949" max="7950" width="8.21875" style="51" customWidth="1"/>
    <col min="7951" max="7951" width="2" style="51" customWidth="1"/>
    <col min="7952" max="7952" width="5.77734375" style="51" customWidth="1"/>
    <col min="7953" max="8192" width="7.21875" style="51"/>
    <col min="8193" max="8193" width="4.33203125" style="51" customWidth="1"/>
    <col min="8194" max="8194" width="14.5546875" style="51" customWidth="1"/>
    <col min="8195" max="8195" width="39.6640625" style="51" customWidth="1"/>
    <col min="8196" max="8196" width="16.77734375" style="51" customWidth="1"/>
    <col min="8197" max="8200" width="10.44140625" style="51" customWidth="1"/>
    <col min="8201" max="8201" width="6.77734375" style="51" customWidth="1"/>
    <col min="8202" max="8203" width="10.44140625" style="51" customWidth="1"/>
    <col min="8204" max="8204" width="6.6640625" style="51" customWidth="1"/>
    <col min="8205" max="8206" width="8.21875" style="51" customWidth="1"/>
    <col min="8207" max="8207" width="2" style="51" customWidth="1"/>
    <col min="8208" max="8208" width="5.77734375" style="51" customWidth="1"/>
    <col min="8209" max="8448" width="7.21875" style="51"/>
    <col min="8449" max="8449" width="4.33203125" style="51" customWidth="1"/>
    <col min="8450" max="8450" width="14.5546875" style="51" customWidth="1"/>
    <col min="8451" max="8451" width="39.6640625" style="51" customWidth="1"/>
    <col min="8452" max="8452" width="16.77734375" style="51" customWidth="1"/>
    <col min="8453" max="8456" width="10.44140625" style="51" customWidth="1"/>
    <col min="8457" max="8457" width="6.77734375" style="51" customWidth="1"/>
    <col min="8458" max="8459" width="10.44140625" style="51" customWidth="1"/>
    <col min="8460" max="8460" width="6.6640625" style="51" customWidth="1"/>
    <col min="8461" max="8462" width="8.21875" style="51" customWidth="1"/>
    <col min="8463" max="8463" width="2" style="51" customWidth="1"/>
    <col min="8464" max="8464" width="5.77734375" style="51" customWidth="1"/>
    <col min="8465" max="8704" width="7.21875" style="51"/>
    <col min="8705" max="8705" width="4.33203125" style="51" customWidth="1"/>
    <col min="8706" max="8706" width="14.5546875" style="51" customWidth="1"/>
    <col min="8707" max="8707" width="39.6640625" style="51" customWidth="1"/>
    <col min="8708" max="8708" width="16.77734375" style="51" customWidth="1"/>
    <col min="8709" max="8712" width="10.44140625" style="51" customWidth="1"/>
    <col min="8713" max="8713" width="6.77734375" style="51" customWidth="1"/>
    <col min="8714" max="8715" width="10.44140625" style="51" customWidth="1"/>
    <col min="8716" max="8716" width="6.6640625" style="51" customWidth="1"/>
    <col min="8717" max="8718" width="8.21875" style="51" customWidth="1"/>
    <col min="8719" max="8719" width="2" style="51" customWidth="1"/>
    <col min="8720" max="8720" width="5.77734375" style="51" customWidth="1"/>
    <col min="8721" max="8960" width="7.21875" style="51"/>
    <col min="8961" max="8961" width="4.33203125" style="51" customWidth="1"/>
    <col min="8962" max="8962" width="14.5546875" style="51" customWidth="1"/>
    <col min="8963" max="8963" width="39.6640625" style="51" customWidth="1"/>
    <col min="8964" max="8964" width="16.77734375" style="51" customWidth="1"/>
    <col min="8965" max="8968" width="10.44140625" style="51" customWidth="1"/>
    <col min="8969" max="8969" width="6.77734375" style="51" customWidth="1"/>
    <col min="8970" max="8971" width="10.44140625" style="51" customWidth="1"/>
    <col min="8972" max="8972" width="6.6640625" style="51" customWidth="1"/>
    <col min="8973" max="8974" width="8.21875" style="51" customWidth="1"/>
    <col min="8975" max="8975" width="2" style="51" customWidth="1"/>
    <col min="8976" max="8976" width="5.77734375" style="51" customWidth="1"/>
    <col min="8977" max="9216" width="7.21875" style="51"/>
    <col min="9217" max="9217" width="4.33203125" style="51" customWidth="1"/>
    <col min="9218" max="9218" width="14.5546875" style="51" customWidth="1"/>
    <col min="9219" max="9219" width="39.6640625" style="51" customWidth="1"/>
    <col min="9220" max="9220" width="16.77734375" style="51" customWidth="1"/>
    <col min="9221" max="9224" width="10.44140625" style="51" customWidth="1"/>
    <col min="9225" max="9225" width="6.77734375" style="51" customWidth="1"/>
    <col min="9226" max="9227" width="10.44140625" style="51" customWidth="1"/>
    <col min="9228" max="9228" width="6.6640625" style="51" customWidth="1"/>
    <col min="9229" max="9230" width="8.21875" style="51" customWidth="1"/>
    <col min="9231" max="9231" width="2" style="51" customWidth="1"/>
    <col min="9232" max="9232" width="5.77734375" style="51" customWidth="1"/>
    <col min="9233" max="9472" width="7.21875" style="51"/>
    <col min="9473" max="9473" width="4.33203125" style="51" customWidth="1"/>
    <col min="9474" max="9474" width="14.5546875" style="51" customWidth="1"/>
    <col min="9475" max="9475" width="39.6640625" style="51" customWidth="1"/>
    <col min="9476" max="9476" width="16.77734375" style="51" customWidth="1"/>
    <col min="9477" max="9480" width="10.44140625" style="51" customWidth="1"/>
    <col min="9481" max="9481" width="6.77734375" style="51" customWidth="1"/>
    <col min="9482" max="9483" width="10.44140625" style="51" customWidth="1"/>
    <col min="9484" max="9484" width="6.6640625" style="51" customWidth="1"/>
    <col min="9485" max="9486" width="8.21875" style="51" customWidth="1"/>
    <col min="9487" max="9487" width="2" style="51" customWidth="1"/>
    <col min="9488" max="9488" width="5.77734375" style="51" customWidth="1"/>
    <col min="9489" max="9728" width="7.21875" style="51"/>
    <col min="9729" max="9729" width="4.33203125" style="51" customWidth="1"/>
    <col min="9730" max="9730" width="14.5546875" style="51" customWidth="1"/>
    <col min="9731" max="9731" width="39.6640625" style="51" customWidth="1"/>
    <col min="9732" max="9732" width="16.77734375" style="51" customWidth="1"/>
    <col min="9733" max="9736" width="10.44140625" style="51" customWidth="1"/>
    <col min="9737" max="9737" width="6.77734375" style="51" customWidth="1"/>
    <col min="9738" max="9739" width="10.44140625" style="51" customWidth="1"/>
    <col min="9740" max="9740" width="6.6640625" style="51" customWidth="1"/>
    <col min="9741" max="9742" width="8.21875" style="51" customWidth="1"/>
    <col min="9743" max="9743" width="2" style="51" customWidth="1"/>
    <col min="9744" max="9744" width="5.77734375" style="51" customWidth="1"/>
    <col min="9745" max="9984" width="7.21875" style="51"/>
    <col min="9985" max="9985" width="4.33203125" style="51" customWidth="1"/>
    <col min="9986" max="9986" width="14.5546875" style="51" customWidth="1"/>
    <col min="9987" max="9987" width="39.6640625" style="51" customWidth="1"/>
    <col min="9988" max="9988" width="16.77734375" style="51" customWidth="1"/>
    <col min="9989" max="9992" width="10.44140625" style="51" customWidth="1"/>
    <col min="9993" max="9993" width="6.77734375" style="51" customWidth="1"/>
    <col min="9994" max="9995" width="10.44140625" style="51" customWidth="1"/>
    <col min="9996" max="9996" width="6.6640625" style="51" customWidth="1"/>
    <col min="9997" max="9998" width="8.21875" style="51" customWidth="1"/>
    <col min="9999" max="9999" width="2" style="51" customWidth="1"/>
    <col min="10000" max="10000" width="5.77734375" style="51" customWidth="1"/>
    <col min="10001" max="10240" width="7.21875" style="51"/>
    <col min="10241" max="10241" width="4.33203125" style="51" customWidth="1"/>
    <col min="10242" max="10242" width="14.5546875" style="51" customWidth="1"/>
    <col min="10243" max="10243" width="39.6640625" style="51" customWidth="1"/>
    <col min="10244" max="10244" width="16.77734375" style="51" customWidth="1"/>
    <col min="10245" max="10248" width="10.44140625" style="51" customWidth="1"/>
    <col min="10249" max="10249" width="6.77734375" style="51" customWidth="1"/>
    <col min="10250" max="10251" width="10.44140625" style="51" customWidth="1"/>
    <col min="10252" max="10252" width="6.6640625" style="51" customWidth="1"/>
    <col min="10253" max="10254" width="8.21875" style="51" customWidth="1"/>
    <col min="10255" max="10255" width="2" style="51" customWidth="1"/>
    <col min="10256" max="10256" width="5.77734375" style="51" customWidth="1"/>
    <col min="10257" max="10496" width="7.21875" style="51"/>
    <col min="10497" max="10497" width="4.33203125" style="51" customWidth="1"/>
    <col min="10498" max="10498" width="14.5546875" style="51" customWidth="1"/>
    <col min="10499" max="10499" width="39.6640625" style="51" customWidth="1"/>
    <col min="10500" max="10500" width="16.77734375" style="51" customWidth="1"/>
    <col min="10501" max="10504" width="10.44140625" style="51" customWidth="1"/>
    <col min="10505" max="10505" width="6.77734375" style="51" customWidth="1"/>
    <col min="10506" max="10507" width="10.44140625" style="51" customWidth="1"/>
    <col min="10508" max="10508" width="6.6640625" style="51" customWidth="1"/>
    <col min="10509" max="10510" width="8.21875" style="51" customWidth="1"/>
    <col min="10511" max="10511" width="2" style="51" customWidth="1"/>
    <col min="10512" max="10512" width="5.77734375" style="51" customWidth="1"/>
    <col min="10513" max="10752" width="7.21875" style="51"/>
    <col min="10753" max="10753" width="4.33203125" style="51" customWidth="1"/>
    <col min="10754" max="10754" width="14.5546875" style="51" customWidth="1"/>
    <col min="10755" max="10755" width="39.6640625" style="51" customWidth="1"/>
    <col min="10756" max="10756" width="16.77734375" style="51" customWidth="1"/>
    <col min="10757" max="10760" width="10.44140625" style="51" customWidth="1"/>
    <col min="10761" max="10761" width="6.77734375" style="51" customWidth="1"/>
    <col min="10762" max="10763" width="10.44140625" style="51" customWidth="1"/>
    <col min="10764" max="10764" width="6.6640625" style="51" customWidth="1"/>
    <col min="10765" max="10766" width="8.21875" style="51" customWidth="1"/>
    <col min="10767" max="10767" width="2" style="51" customWidth="1"/>
    <col min="10768" max="10768" width="5.77734375" style="51" customWidth="1"/>
    <col min="10769" max="11008" width="7.21875" style="51"/>
    <col min="11009" max="11009" width="4.33203125" style="51" customWidth="1"/>
    <col min="11010" max="11010" width="14.5546875" style="51" customWidth="1"/>
    <col min="11011" max="11011" width="39.6640625" style="51" customWidth="1"/>
    <col min="11012" max="11012" width="16.77734375" style="51" customWidth="1"/>
    <col min="11013" max="11016" width="10.44140625" style="51" customWidth="1"/>
    <col min="11017" max="11017" width="6.77734375" style="51" customWidth="1"/>
    <col min="11018" max="11019" width="10.44140625" style="51" customWidth="1"/>
    <col min="11020" max="11020" width="6.6640625" style="51" customWidth="1"/>
    <col min="11021" max="11022" width="8.21875" style="51" customWidth="1"/>
    <col min="11023" max="11023" width="2" style="51" customWidth="1"/>
    <col min="11024" max="11024" width="5.77734375" style="51" customWidth="1"/>
    <col min="11025" max="11264" width="7.21875" style="51"/>
    <col min="11265" max="11265" width="4.33203125" style="51" customWidth="1"/>
    <col min="11266" max="11266" width="14.5546875" style="51" customWidth="1"/>
    <col min="11267" max="11267" width="39.6640625" style="51" customWidth="1"/>
    <col min="11268" max="11268" width="16.77734375" style="51" customWidth="1"/>
    <col min="11269" max="11272" width="10.44140625" style="51" customWidth="1"/>
    <col min="11273" max="11273" width="6.77734375" style="51" customWidth="1"/>
    <col min="11274" max="11275" width="10.44140625" style="51" customWidth="1"/>
    <col min="11276" max="11276" width="6.6640625" style="51" customWidth="1"/>
    <col min="11277" max="11278" width="8.21875" style="51" customWidth="1"/>
    <col min="11279" max="11279" width="2" style="51" customWidth="1"/>
    <col min="11280" max="11280" width="5.77734375" style="51" customWidth="1"/>
    <col min="11281" max="11520" width="7.21875" style="51"/>
    <col min="11521" max="11521" width="4.33203125" style="51" customWidth="1"/>
    <col min="11522" max="11522" width="14.5546875" style="51" customWidth="1"/>
    <col min="11523" max="11523" width="39.6640625" style="51" customWidth="1"/>
    <col min="11524" max="11524" width="16.77734375" style="51" customWidth="1"/>
    <col min="11525" max="11528" width="10.44140625" style="51" customWidth="1"/>
    <col min="11529" max="11529" width="6.77734375" style="51" customWidth="1"/>
    <col min="11530" max="11531" width="10.44140625" style="51" customWidth="1"/>
    <col min="11532" max="11532" width="6.6640625" style="51" customWidth="1"/>
    <col min="11533" max="11534" width="8.21875" style="51" customWidth="1"/>
    <col min="11535" max="11535" width="2" style="51" customWidth="1"/>
    <col min="11536" max="11536" width="5.77734375" style="51" customWidth="1"/>
    <col min="11537" max="11776" width="7.21875" style="51"/>
    <col min="11777" max="11777" width="4.33203125" style="51" customWidth="1"/>
    <col min="11778" max="11778" width="14.5546875" style="51" customWidth="1"/>
    <col min="11779" max="11779" width="39.6640625" style="51" customWidth="1"/>
    <col min="11780" max="11780" width="16.77734375" style="51" customWidth="1"/>
    <col min="11781" max="11784" width="10.44140625" style="51" customWidth="1"/>
    <col min="11785" max="11785" width="6.77734375" style="51" customWidth="1"/>
    <col min="11786" max="11787" width="10.44140625" style="51" customWidth="1"/>
    <col min="11788" max="11788" width="6.6640625" style="51" customWidth="1"/>
    <col min="11789" max="11790" width="8.21875" style="51" customWidth="1"/>
    <col min="11791" max="11791" width="2" style="51" customWidth="1"/>
    <col min="11792" max="11792" width="5.77734375" style="51" customWidth="1"/>
    <col min="11793" max="12032" width="7.21875" style="51"/>
    <col min="12033" max="12033" width="4.33203125" style="51" customWidth="1"/>
    <col min="12034" max="12034" width="14.5546875" style="51" customWidth="1"/>
    <col min="12035" max="12035" width="39.6640625" style="51" customWidth="1"/>
    <col min="12036" max="12036" width="16.77734375" style="51" customWidth="1"/>
    <col min="12037" max="12040" width="10.44140625" style="51" customWidth="1"/>
    <col min="12041" max="12041" width="6.77734375" style="51" customWidth="1"/>
    <col min="12042" max="12043" width="10.44140625" style="51" customWidth="1"/>
    <col min="12044" max="12044" width="6.6640625" style="51" customWidth="1"/>
    <col min="12045" max="12046" width="8.21875" style="51" customWidth="1"/>
    <col min="12047" max="12047" width="2" style="51" customWidth="1"/>
    <col min="12048" max="12048" width="5.77734375" style="51" customWidth="1"/>
    <col min="12049" max="12288" width="7.21875" style="51"/>
    <col min="12289" max="12289" width="4.33203125" style="51" customWidth="1"/>
    <col min="12290" max="12290" width="14.5546875" style="51" customWidth="1"/>
    <col min="12291" max="12291" width="39.6640625" style="51" customWidth="1"/>
    <col min="12292" max="12292" width="16.77734375" style="51" customWidth="1"/>
    <col min="12293" max="12296" width="10.44140625" style="51" customWidth="1"/>
    <col min="12297" max="12297" width="6.77734375" style="51" customWidth="1"/>
    <col min="12298" max="12299" width="10.44140625" style="51" customWidth="1"/>
    <col min="12300" max="12300" width="6.6640625" style="51" customWidth="1"/>
    <col min="12301" max="12302" width="8.21875" style="51" customWidth="1"/>
    <col min="12303" max="12303" width="2" style="51" customWidth="1"/>
    <col min="12304" max="12304" width="5.77734375" style="51" customWidth="1"/>
    <col min="12305" max="12544" width="7.21875" style="51"/>
    <col min="12545" max="12545" width="4.33203125" style="51" customWidth="1"/>
    <col min="12546" max="12546" width="14.5546875" style="51" customWidth="1"/>
    <col min="12547" max="12547" width="39.6640625" style="51" customWidth="1"/>
    <col min="12548" max="12548" width="16.77734375" style="51" customWidth="1"/>
    <col min="12549" max="12552" width="10.44140625" style="51" customWidth="1"/>
    <col min="12553" max="12553" width="6.77734375" style="51" customWidth="1"/>
    <col min="12554" max="12555" width="10.44140625" style="51" customWidth="1"/>
    <col min="12556" max="12556" width="6.6640625" style="51" customWidth="1"/>
    <col min="12557" max="12558" width="8.21875" style="51" customWidth="1"/>
    <col min="12559" max="12559" width="2" style="51" customWidth="1"/>
    <col min="12560" max="12560" width="5.77734375" style="51" customWidth="1"/>
    <col min="12561" max="12800" width="7.21875" style="51"/>
    <col min="12801" max="12801" width="4.33203125" style="51" customWidth="1"/>
    <col min="12802" max="12802" width="14.5546875" style="51" customWidth="1"/>
    <col min="12803" max="12803" width="39.6640625" style="51" customWidth="1"/>
    <col min="12804" max="12804" width="16.77734375" style="51" customWidth="1"/>
    <col min="12805" max="12808" width="10.44140625" style="51" customWidth="1"/>
    <col min="12809" max="12809" width="6.77734375" style="51" customWidth="1"/>
    <col min="12810" max="12811" width="10.44140625" style="51" customWidth="1"/>
    <col min="12812" max="12812" width="6.6640625" style="51" customWidth="1"/>
    <col min="12813" max="12814" width="8.21875" style="51" customWidth="1"/>
    <col min="12815" max="12815" width="2" style="51" customWidth="1"/>
    <col min="12816" max="12816" width="5.77734375" style="51" customWidth="1"/>
    <col min="12817" max="13056" width="7.21875" style="51"/>
    <col min="13057" max="13057" width="4.33203125" style="51" customWidth="1"/>
    <col min="13058" max="13058" width="14.5546875" style="51" customWidth="1"/>
    <col min="13059" max="13059" width="39.6640625" style="51" customWidth="1"/>
    <col min="13060" max="13060" width="16.77734375" style="51" customWidth="1"/>
    <col min="13061" max="13064" width="10.44140625" style="51" customWidth="1"/>
    <col min="13065" max="13065" width="6.77734375" style="51" customWidth="1"/>
    <col min="13066" max="13067" width="10.44140625" style="51" customWidth="1"/>
    <col min="13068" max="13068" width="6.6640625" style="51" customWidth="1"/>
    <col min="13069" max="13070" width="8.21875" style="51" customWidth="1"/>
    <col min="13071" max="13071" width="2" style="51" customWidth="1"/>
    <col min="13072" max="13072" width="5.77734375" style="51" customWidth="1"/>
    <col min="13073" max="13312" width="7.21875" style="51"/>
    <col min="13313" max="13313" width="4.33203125" style="51" customWidth="1"/>
    <col min="13314" max="13314" width="14.5546875" style="51" customWidth="1"/>
    <col min="13315" max="13315" width="39.6640625" style="51" customWidth="1"/>
    <col min="13316" max="13316" width="16.77734375" style="51" customWidth="1"/>
    <col min="13317" max="13320" width="10.44140625" style="51" customWidth="1"/>
    <col min="13321" max="13321" width="6.77734375" style="51" customWidth="1"/>
    <col min="13322" max="13323" width="10.44140625" style="51" customWidth="1"/>
    <col min="13324" max="13324" width="6.6640625" style="51" customWidth="1"/>
    <col min="13325" max="13326" width="8.21875" style="51" customWidth="1"/>
    <col min="13327" max="13327" width="2" style="51" customWidth="1"/>
    <col min="13328" max="13328" width="5.77734375" style="51" customWidth="1"/>
    <col min="13329" max="13568" width="7.21875" style="51"/>
    <col min="13569" max="13569" width="4.33203125" style="51" customWidth="1"/>
    <col min="13570" max="13570" width="14.5546875" style="51" customWidth="1"/>
    <col min="13571" max="13571" width="39.6640625" style="51" customWidth="1"/>
    <col min="13572" max="13572" width="16.77734375" style="51" customWidth="1"/>
    <col min="13573" max="13576" width="10.44140625" style="51" customWidth="1"/>
    <col min="13577" max="13577" width="6.77734375" style="51" customWidth="1"/>
    <col min="13578" max="13579" width="10.44140625" style="51" customWidth="1"/>
    <col min="13580" max="13580" width="6.6640625" style="51" customWidth="1"/>
    <col min="13581" max="13582" width="8.21875" style="51" customWidth="1"/>
    <col min="13583" max="13583" width="2" style="51" customWidth="1"/>
    <col min="13584" max="13584" width="5.77734375" style="51" customWidth="1"/>
    <col min="13585" max="13824" width="7.21875" style="51"/>
    <col min="13825" max="13825" width="4.33203125" style="51" customWidth="1"/>
    <col min="13826" max="13826" width="14.5546875" style="51" customWidth="1"/>
    <col min="13827" max="13827" width="39.6640625" style="51" customWidth="1"/>
    <col min="13828" max="13828" width="16.77734375" style="51" customWidth="1"/>
    <col min="13829" max="13832" width="10.44140625" style="51" customWidth="1"/>
    <col min="13833" max="13833" width="6.77734375" style="51" customWidth="1"/>
    <col min="13834" max="13835" width="10.44140625" style="51" customWidth="1"/>
    <col min="13836" max="13836" width="6.6640625" style="51" customWidth="1"/>
    <col min="13837" max="13838" width="8.21875" style="51" customWidth="1"/>
    <col min="13839" max="13839" width="2" style="51" customWidth="1"/>
    <col min="13840" max="13840" width="5.77734375" style="51" customWidth="1"/>
    <col min="13841" max="14080" width="7.21875" style="51"/>
    <col min="14081" max="14081" width="4.33203125" style="51" customWidth="1"/>
    <col min="14082" max="14082" width="14.5546875" style="51" customWidth="1"/>
    <col min="14083" max="14083" width="39.6640625" style="51" customWidth="1"/>
    <col min="14084" max="14084" width="16.77734375" style="51" customWidth="1"/>
    <col min="14085" max="14088" width="10.44140625" style="51" customWidth="1"/>
    <col min="14089" max="14089" width="6.77734375" style="51" customWidth="1"/>
    <col min="14090" max="14091" width="10.44140625" style="51" customWidth="1"/>
    <col min="14092" max="14092" width="6.6640625" style="51" customWidth="1"/>
    <col min="14093" max="14094" width="8.21875" style="51" customWidth="1"/>
    <col min="14095" max="14095" width="2" style="51" customWidth="1"/>
    <col min="14096" max="14096" width="5.77734375" style="51" customWidth="1"/>
    <col min="14097" max="14336" width="7.21875" style="51"/>
    <col min="14337" max="14337" width="4.33203125" style="51" customWidth="1"/>
    <col min="14338" max="14338" width="14.5546875" style="51" customWidth="1"/>
    <col min="14339" max="14339" width="39.6640625" style="51" customWidth="1"/>
    <col min="14340" max="14340" width="16.77734375" style="51" customWidth="1"/>
    <col min="14341" max="14344" width="10.44140625" style="51" customWidth="1"/>
    <col min="14345" max="14345" width="6.77734375" style="51" customWidth="1"/>
    <col min="14346" max="14347" width="10.44140625" style="51" customWidth="1"/>
    <col min="14348" max="14348" width="6.6640625" style="51" customWidth="1"/>
    <col min="14349" max="14350" width="8.21875" style="51" customWidth="1"/>
    <col min="14351" max="14351" width="2" style="51" customWidth="1"/>
    <col min="14352" max="14352" width="5.77734375" style="51" customWidth="1"/>
    <col min="14353" max="14592" width="7.21875" style="51"/>
    <col min="14593" max="14593" width="4.33203125" style="51" customWidth="1"/>
    <col min="14594" max="14594" width="14.5546875" style="51" customWidth="1"/>
    <col min="14595" max="14595" width="39.6640625" style="51" customWidth="1"/>
    <col min="14596" max="14596" width="16.77734375" style="51" customWidth="1"/>
    <col min="14597" max="14600" width="10.44140625" style="51" customWidth="1"/>
    <col min="14601" max="14601" width="6.77734375" style="51" customWidth="1"/>
    <col min="14602" max="14603" width="10.44140625" style="51" customWidth="1"/>
    <col min="14604" max="14604" width="6.6640625" style="51" customWidth="1"/>
    <col min="14605" max="14606" width="8.21875" style="51" customWidth="1"/>
    <col min="14607" max="14607" width="2" style="51" customWidth="1"/>
    <col min="14608" max="14608" width="5.77734375" style="51" customWidth="1"/>
    <col min="14609" max="14848" width="7.21875" style="51"/>
    <col min="14849" max="14849" width="4.33203125" style="51" customWidth="1"/>
    <col min="14850" max="14850" width="14.5546875" style="51" customWidth="1"/>
    <col min="14851" max="14851" width="39.6640625" style="51" customWidth="1"/>
    <col min="14852" max="14852" width="16.77734375" style="51" customWidth="1"/>
    <col min="14853" max="14856" width="10.44140625" style="51" customWidth="1"/>
    <col min="14857" max="14857" width="6.77734375" style="51" customWidth="1"/>
    <col min="14858" max="14859" width="10.44140625" style="51" customWidth="1"/>
    <col min="14860" max="14860" width="6.6640625" style="51" customWidth="1"/>
    <col min="14861" max="14862" width="8.21875" style="51" customWidth="1"/>
    <col min="14863" max="14863" width="2" style="51" customWidth="1"/>
    <col min="14864" max="14864" width="5.77734375" style="51" customWidth="1"/>
    <col min="14865" max="15104" width="7.21875" style="51"/>
    <col min="15105" max="15105" width="4.33203125" style="51" customWidth="1"/>
    <col min="15106" max="15106" width="14.5546875" style="51" customWidth="1"/>
    <col min="15107" max="15107" width="39.6640625" style="51" customWidth="1"/>
    <col min="15108" max="15108" width="16.77734375" style="51" customWidth="1"/>
    <col min="15109" max="15112" width="10.44140625" style="51" customWidth="1"/>
    <col min="15113" max="15113" width="6.77734375" style="51" customWidth="1"/>
    <col min="15114" max="15115" width="10.44140625" style="51" customWidth="1"/>
    <col min="15116" max="15116" width="6.6640625" style="51" customWidth="1"/>
    <col min="15117" max="15118" width="8.21875" style="51" customWidth="1"/>
    <col min="15119" max="15119" width="2" style="51" customWidth="1"/>
    <col min="15120" max="15120" width="5.77734375" style="51" customWidth="1"/>
    <col min="15121" max="15360" width="7.21875" style="51"/>
    <col min="15361" max="15361" width="4.33203125" style="51" customWidth="1"/>
    <col min="15362" max="15362" width="14.5546875" style="51" customWidth="1"/>
    <col min="15363" max="15363" width="39.6640625" style="51" customWidth="1"/>
    <col min="15364" max="15364" width="16.77734375" style="51" customWidth="1"/>
    <col min="15365" max="15368" width="10.44140625" style="51" customWidth="1"/>
    <col min="15369" max="15369" width="6.77734375" style="51" customWidth="1"/>
    <col min="15370" max="15371" width="10.44140625" style="51" customWidth="1"/>
    <col min="15372" max="15372" width="6.6640625" style="51" customWidth="1"/>
    <col min="15373" max="15374" width="8.21875" style="51" customWidth="1"/>
    <col min="15375" max="15375" width="2" style="51" customWidth="1"/>
    <col min="15376" max="15376" width="5.77734375" style="51" customWidth="1"/>
    <col min="15377" max="15616" width="7.21875" style="51"/>
    <col min="15617" max="15617" width="4.33203125" style="51" customWidth="1"/>
    <col min="15618" max="15618" width="14.5546875" style="51" customWidth="1"/>
    <col min="15619" max="15619" width="39.6640625" style="51" customWidth="1"/>
    <col min="15620" max="15620" width="16.77734375" style="51" customWidth="1"/>
    <col min="15621" max="15624" width="10.44140625" style="51" customWidth="1"/>
    <col min="15625" max="15625" width="6.77734375" style="51" customWidth="1"/>
    <col min="15626" max="15627" width="10.44140625" style="51" customWidth="1"/>
    <col min="15628" max="15628" width="6.6640625" style="51" customWidth="1"/>
    <col min="15629" max="15630" width="8.21875" style="51" customWidth="1"/>
    <col min="15631" max="15631" width="2" style="51" customWidth="1"/>
    <col min="15632" max="15632" width="5.77734375" style="51" customWidth="1"/>
    <col min="15633" max="15872" width="7.21875" style="51"/>
    <col min="15873" max="15873" width="4.33203125" style="51" customWidth="1"/>
    <col min="15874" max="15874" width="14.5546875" style="51" customWidth="1"/>
    <col min="15875" max="15875" width="39.6640625" style="51" customWidth="1"/>
    <col min="15876" max="15876" width="16.77734375" style="51" customWidth="1"/>
    <col min="15877" max="15880" width="10.44140625" style="51" customWidth="1"/>
    <col min="15881" max="15881" width="6.77734375" style="51" customWidth="1"/>
    <col min="15882" max="15883" width="10.44140625" style="51" customWidth="1"/>
    <col min="15884" max="15884" width="6.6640625" style="51" customWidth="1"/>
    <col min="15885" max="15886" width="8.21875" style="51" customWidth="1"/>
    <col min="15887" max="15887" width="2" style="51" customWidth="1"/>
    <col min="15888" max="15888" width="5.77734375" style="51" customWidth="1"/>
    <col min="15889" max="16128" width="7.21875" style="51"/>
    <col min="16129" max="16129" width="4.33203125" style="51" customWidth="1"/>
    <col min="16130" max="16130" width="14.5546875" style="51" customWidth="1"/>
    <col min="16131" max="16131" width="39.6640625" style="51" customWidth="1"/>
    <col min="16132" max="16132" width="16.77734375" style="51" customWidth="1"/>
    <col min="16133" max="16136" width="10.44140625" style="51" customWidth="1"/>
    <col min="16137" max="16137" width="6.77734375" style="51" customWidth="1"/>
    <col min="16138" max="16139" width="10.44140625" style="51" customWidth="1"/>
    <col min="16140" max="16140" width="6.6640625" style="51" customWidth="1"/>
    <col min="16141" max="16142" width="8.21875" style="51" customWidth="1"/>
    <col min="16143" max="16143" width="2" style="51" customWidth="1"/>
    <col min="16144" max="16144" width="5.77734375" style="51" customWidth="1"/>
    <col min="16145" max="16384" width="7.21875" style="51"/>
  </cols>
  <sheetData>
    <row r="1" spans="1:16" s="91" customFormat="1" x14ac:dyDescent="0.25">
      <c r="A1" s="290" t="s">
        <v>212</v>
      </c>
      <c r="B1" s="290"/>
      <c r="C1" s="290"/>
      <c r="D1" s="290"/>
      <c r="E1" s="290"/>
      <c r="F1" s="290"/>
      <c r="P1" s="92"/>
    </row>
    <row r="2" spans="1:16" ht="21" x14ac:dyDescent="0.35">
      <c r="A2" s="241" t="s">
        <v>287</v>
      </c>
      <c r="B2" s="241"/>
      <c r="C2" s="241"/>
      <c r="D2" s="241"/>
      <c r="E2" s="241"/>
      <c r="F2" s="241"/>
    </row>
    <row r="3" spans="1:16" x14ac:dyDescent="0.25">
      <c r="A3" s="94" t="s">
        <v>214</v>
      </c>
    </row>
    <row r="4" spans="1:16" s="52" customFormat="1" ht="7.5" thickBot="1" x14ac:dyDescent="0.2">
      <c r="P4" s="95"/>
    </row>
    <row r="5" spans="1:16" ht="15.75" thickTop="1" x14ac:dyDescent="0.25">
      <c r="B5" s="96" t="s">
        <v>215</v>
      </c>
      <c r="C5" s="97" t="s">
        <v>288</v>
      </c>
      <c r="D5" s="98" t="s">
        <v>216</v>
      </c>
      <c r="E5" s="99">
        <v>45085</v>
      </c>
      <c r="F5" s="98" t="s">
        <v>217</v>
      </c>
      <c r="G5" s="100" t="s">
        <v>218</v>
      </c>
    </row>
    <row r="6" spans="1:16" ht="15.75" thickBot="1" x14ac:dyDescent="0.3">
      <c r="B6" s="101" t="s">
        <v>219</v>
      </c>
      <c r="C6" s="102" t="s">
        <v>289</v>
      </c>
      <c r="D6" s="103" t="s">
        <v>221</v>
      </c>
      <c r="E6" s="104">
        <v>2</v>
      </c>
      <c r="F6" s="103" t="s">
        <v>222</v>
      </c>
      <c r="G6" s="105">
        <v>2022</v>
      </c>
    </row>
    <row r="7" spans="1:16" ht="16.5" thickTop="1" thickBot="1" x14ac:dyDescent="0.3">
      <c r="B7" s="106"/>
      <c r="C7" s="107"/>
      <c r="D7" s="108"/>
      <c r="E7" s="109"/>
      <c r="F7" s="108"/>
      <c r="G7" s="110"/>
    </row>
    <row r="8" spans="1:16" ht="16.5" thickTop="1" thickBot="1" x14ac:dyDescent="0.3">
      <c r="B8" s="291" t="s">
        <v>290</v>
      </c>
      <c r="C8" s="292"/>
      <c r="D8" s="292"/>
      <c r="E8" s="292"/>
      <c r="F8" s="292"/>
      <c r="G8" s="292"/>
      <c r="H8" s="292"/>
      <c r="I8" s="292"/>
      <c r="J8" s="292"/>
      <c r="K8" s="292"/>
      <c r="L8" s="292"/>
      <c r="M8" s="292"/>
      <c r="N8" s="292"/>
      <c r="O8" s="292"/>
      <c r="P8" s="293"/>
    </row>
    <row r="9" spans="1:16" ht="15.75" thickTop="1" x14ac:dyDescent="0.25"/>
    <row r="10" spans="1:16" x14ac:dyDescent="0.25">
      <c r="B10" s="65"/>
    </row>
    <row r="12" spans="1:16" ht="15.75" thickBot="1" x14ac:dyDescent="0.3"/>
    <row r="13" spans="1:16" ht="15.75" thickTop="1" x14ac:dyDescent="0.25">
      <c r="C13" s="288"/>
      <c r="D13" s="111" t="s">
        <v>54</v>
      </c>
      <c r="E13" s="111" t="s">
        <v>291</v>
      </c>
      <c r="F13" s="168" t="s">
        <v>292</v>
      </c>
      <c r="G13" s="141" t="s">
        <v>293</v>
      </c>
      <c r="H13" s="141" t="s">
        <v>294</v>
      </c>
      <c r="J13" s="111" t="s">
        <v>291</v>
      </c>
      <c r="K13" s="141" t="s">
        <v>292</v>
      </c>
      <c r="M13" s="111" t="s">
        <v>291</v>
      </c>
      <c r="N13" s="141" t="s">
        <v>292</v>
      </c>
    </row>
    <row r="14" spans="1:16" ht="15.75" thickBot="1" x14ac:dyDescent="0.3">
      <c r="C14" s="288"/>
      <c r="D14" s="112"/>
      <c r="E14" s="113" t="s">
        <v>295</v>
      </c>
      <c r="F14" s="169" t="s">
        <v>295</v>
      </c>
      <c r="G14" s="142" t="s">
        <v>296</v>
      </c>
      <c r="H14" s="142" t="s">
        <v>297</v>
      </c>
      <c r="J14" s="113" t="s">
        <v>298</v>
      </c>
      <c r="K14" s="143" t="s">
        <v>298</v>
      </c>
      <c r="M14" s="113" t="s">
        <v>299</v>
      </c>
      <c r="N14" s="143" t="s">
        <v>299</v>
      </c>
      <c r="P14" s="114"/>
    </row>
    <row r="15" spans="1:16" ht="16.5" customHeight="1" thickTop="1" thickBot="1" x14ac:dyDescent="0.3">
      <c r="B15" s="285" t="s">
        <v>300</v>
      </c>
      <c r="C15" s="111" t="s">
        <v>301</v>
      </c>
      <c r="D15" s="115">
        <v>2022</v>
      </c>
      <c r="E15" s="116">
        <v>44.831000000000003</v>
      </c>
      <c r="F15" s="116">
        <v>47.19</v>
      </c>
      <c r="G15" s="116">
        <v>727.27300000000002</v>
      </c>
      <c r="H15" s="116">
        <v>1375</v>
      </c>
      <c r="J15" s="116">
        <v>12.452999999999999</v>
      </c>
      <c r="K15" s="116">
        <v>13.108000000000001</v>
      </c>
      <c r="M15" s="116">
        <v>9.0570000000000004</v>
      </c>
      <c r="N15" s="116">
        <v>9.5329999999999995</v>
      </c>
    </row>
    <row r="16" spans="1:16" ht="16.5" thickTop="1" thickBot="1" x14ac:dyDescent="0.3">
      <c r="B16" s="286"/>
      <c r="C16" s="111" t="s">
        <v>302</v>
      </c>
      <c r="D16" s="117">
        <v>2022</v>
      </c>
      <c r="E16" s="118">
        <v>43.920999999999999</v>
      </c>
      <c r="F16" s="118">
        <v>46.231999999999999</v>
      </c>
      <c r="G16" s="118">
        <v>798.72199999999998</v>
      </c>
      <c r="H16" s="118">
        <v>1252</v>
      </c>
      <c r="J16" s="118">
        <v>12.2</v>
      </c>
      <c r="K16" s="118">
        <v>12.842000000000001</v>
      </c>
      <c r="M16" s="118">
        <v>9.7449999999999992</v>
      </c>
      <c r="N16" s="118">
        <v>10.257</v>
      </c>
    </row>
    <row r="17" spans="2:16" ht="16.5" thickTop="1" thickBot="1" x14ac:dyDescent="0.3">
      <c r="B17" s="286"/>
      <c r="C17" s="141" t="s">
        <v>303</v>
      </c>
      <c r="D17" s="117">
        <v>2022</v>
      </c>
      <c r="E17" s="118">
        <v>43.896000000000001</v>
      </c>
      <c r="F17" s="145">
        <v>46.207000000000001</v>
      </c>
      <c r="G17" s="145">
        <v>800.64099999999996</v>
      </c>
      <c r="H17" s="149">
        <v>1249</v>
      </c>
      <c r="J17" s="118">
        <v>12.193</v>
      </c>
      <c r="K17" s="145">
        <v>12.835000000000001</v>
      </c>
      <c r="M17" s="118">
        <v>9.7629999999999999</v>
      </c>
      <c r="N17" s="145">
        <v>10.276</v>
      </c>
    </row>
    <row r="18" spans="2:16" ht="16.5" thickTop="1" thickBot="1" x14ac:dyDescent="0.3">
      <c r="B18" s="286"/>
      <c r="C18" s="111" t="s">
        <v>243</v>
      </c>
      <c r="D18" s="117">
        <v>2022</v>
      </c>
      <c r="E18" s="118">
        <v>45.3</v>
      </c>
      <c r="F18" s="118">
        <v>49.1</v>
      </c>
      <c r="G18" s="118">
        <v>574.71299999999997</v>
      </c>
      <c r="H18" s="118">
        <v>1740</v>
      </c>
      <c r="J18" s="118">
        <v>12.583</v>
      </c>
      <c r="K18" s="118">
        <v>13.638999999999999</v>
      </c>
      <c r="M18" s="118">
        <v>7.2320000000000002</v>
      </c>
      <c r="N18" s="118">
        <v>7.8380000000000001</v>
      </c>
    </row>
    <row r="19" spans="2:16" ht="16.5" thickTop="1" thickBot="1" x14ac:dyDescent="0.3">
      <c r="B19" s="286"/>
      <c r="C19" s="111" t="s">
        <v>276</v>
      </c>
      <c r="D19" s="117">
        <v>2022</v>
      </c>
      <c r="E19" s="118">
        <v>28.613</v>
      </c>
      <c r="F19" s="118">
        <v>30.119</v>
      </c>
      <c r="G19" s="118">
        <v>850</v>
      </c>
      <c r="H19" s="118">
        <v>1176.471</v>
      </c>
      <c r="J19" s="118">
        <v>7.9480000000000004</v>
      </c>
      <c r="K19" s="118">
        <v>8.3659999999999997</v>
      </c>
      <c r="M19" s="118">
        <v>6.7560000000000002</v>
      </c>
      <c r="N19" s="118">
        <v>7.1109999999999998</v>
      </c>
    </row>
    <row r="20" spans="2:16" ht="18" thickTop="1" thickBot="1" x14ac:dyDescent="0.3">
      <c r="B20" s="286"/>
      <c r="C20" s="111" t="s">
        <v>275</v>
      </c>
      <c r="D20" s="117">
        <v>2022</v>
      </c>
      <c r="E20" s="118">
        <v>24.166</v>
      </c>
      <c r="F20" s="118">
        <v>25.437999999999999</v>
      </c>
      <c r="G20" s="119"/>
      <c r="H20" s="119"/>
      <c r="J20" s="118">
        <v>6.7130000000000001</v>
      </c>
      <c r="K20" s="118">
        <v>7.0659999999999998</v>
      </c>
      <c r="M20" s="119"/>
      <c r="N20" s="120"/>
      <c r="P20" s="121"/>
    </row>
    <row r="21" spans="2:16" ht="31.5" thickTop="1" thickBot="1" x14ac:dyDescent="0.3">
      <c r="B21" s="286"/>
      <c r="C21" s="111" t="s">
        <v>278</v>
      </c>
      <c r="D21" s="117">
        <v>2022</v>
      </c>
      <c r="E21" s="118">
        <v>24.128</v>
      </c>
      <c r="F21" s="118">
        <v>25.398</v>
      </c>
      <c r="G21" s="119"/>
      <c r="H21" s="119"/>
      <c r="J21" s="118">
        <v>6.702</v>
      </c>
      <c r="K21" s="118">
        <v>7.0549999999999997</v>
      </c>
      <c r="M21" s="119"/>
      <c r="N21" s="120"/>
      <c r="P21" s="121"/>
    </row>
    <row r="22" spans="2:16" ht="16.5" thickTop="1" thickBot="1" x14ac:dyDescent="0.3">
      <c r="B22" s="286"/>
      <c r="C22" s="141" t="s">
        <v>274</v>
      </c>
      <c r="D22" s="117">
        <v>2022</v>
      </c>
      <c r="E22" s="118">
        <v>25.405000000000001</v>
      </c>
      <c r="F22" s="145">
        <v>26.742000000000001</v>
      </c>
      <c r="G22" s="119"/>
      <c r="H22" s="119"/>
      <c r="J22" s="118">
        <v>7.0570000000000004</v>
      </c>
      <c r="K22" s="145">
        <v>7.4279999999999999</v>
      </c>
      <c r="M22" s="119"/>
      <c r="N22" s="120"/>
    </row>
    <row r="23" spans="2:16" ht="16.5" thickTop="1" thickBot="1" x14ac:dyDescent="0.3">
      <c r="B23" s="286"/>
      <c r="C23" s="111" t="s">
        <v>304</v>
      </c>
      <c r="D23" s="117">
        <v>2022</v>
      </c>
      <c r="E23" s="118">
        <v>30.24</v>
      </c>
      <c r="F23" s="118">
        <v>31.832000000000001</v>
      </c>
      <c r="G23" s="119"/>
      <c r="H23" s="119"/>
      <c r="J23" s="118">
        <v>8.4</v>
      </c>
      <c r="K23" s="118">
        <v>8.8420000000000005</v>
      </c>
      <c r="M23" s="119"/>
      <c r="N23" s="120"/>
    </row>
    <row r="24" spans="2:16" ht="16.5" thickTop="1" thickBot="1" x14ac:dyDescent="0.3">
      <c r="B24" s="286"/>
      <c r="C24" s="111" t="s">
        <v>261</v>
      </c>
      <c r="D24" s="117">
        <v>2022</v>
      </c>
      <c r="E24" s="118">
        <v>42.881999999999998</v>
      </c>
      <c r="F24" s="118">
        <v>45.619</v>
      </c>
      <c r="G24" s="118">
        <v>841.04300000000001</v>
      </c>
      <c r="H24" s="118">
        <v>1189</v>
      </c>
      <c r="J24" s="118">
        <v>11.912000000000001</v>
      </c>
      <c r="K24" s="118">
        <v>12.672000000000001</v>
      </c>
      <c r="M24" s="118">
        <v>10.018000000000001</v>
      </c>
      <c r="N24" s="118">
        <v>10.657999999999999</v>
      </c>
    </row>
    <row r="25" spans="2:16" ht="16.5" thickTop="1" thickBot="1" x14ac:dyDescent="0.3">
      <c r="B25" s="286"/>
      <c r="C25" s="111" t="s">
        <v>260</v>
      </c>
      <c r="D25" s="117">
        <v>2022</v>
      </c>
      <c r="E25" s="118">
        <v>42.601999999999997</v>
      </c>
      <c r="F25" s="118">
        <v>45.277999999999999</v>
      </c>
      <c r="G25" s="118">
        <v>843.32799999999997</v>
      </c>
      <c r="H25" s="118">
        <v>1185.779</v>
      </c>
      <c r="J25" s="118">
        <v>11.834</v>
      </c>
      <c r="K25" s="118">
        <v>12.577</v>
      </c>
      <c r="M25" s="118">
        <v>9.98</v>
      </c>
      <c r="N25" s="118">
        <v>10.606999999999999</v>
      </c>
    </row>
    <row r="26" spans="2:16" ht="16.5" thickTop="1" thickBot="1" x14ac:dyDescent="0.3">
      <c r="B26" s="286"/>
      <c r="C26" s="141" t="s">
        <v>15</v>
      </c>
      <c r="D26" s="117">
        <v>2022</v>
      </c>
      <c r="E26" s="118">
        <v>40.725999999999999</v>
      </c>
      <c r="F26" s="145">
        <v>43.325000000000003</v>
      </c>
      <c r="G26" s="145">
        <v>984.25199999999995</v>
      </c>
      <c r="H26" s="149">
        <v>1016</v>
      </c>
      <c r="J26" s="118">
        <v>11.313000000000001</v>
      </c>
      <c r="K26" s="145">
        <v>12.035</v>
      </c>
      <c r="M26" s="118">
        <v>11.135</v>
      </c>
      <c r="N26" s="145">
        <v>11.845000000000001</v>
      </c>
    </row>
    <row r="27" spans="2:16" ht="16.5" thickTop="1" thickBot="1" x14ac:dyDescent="0.3">
      <c r="B27" s="286"/>
      <c r="C27" s="141" t="s">
        <v>305</v>
      </c>
      <c r="D27" s="117">
        <v>2022</v>
      </c>
      <c r="E27" s="118">
        <v>42.569000000000003</v>
      </c>
      <c r="F27" s="145">
        <v>45.286000000000001</v>
      </c>
      <c r="G27" s="145">
        <v>844.59500000000003</v>
      </c>
      <c r="H27" s="149">
        <v>1184</v>
      </c>
      <c r="J27" s="118">
        <v>11.824999999999999</v>
      </c>
      <c r="K27" s="145">
        <v>12.579000000000001</v>
      </c>
      <c r="M27" s="118">
        <v>9.9870000000000001</v>
      </c>
      <c r="N27" s="145">
        <v>10.625</v>
      </c>
    </row>
    <row r="28" spans="2:16" ht="16.5" thickTop="1" thickBot="1" x14ac:dyDescent="0.3">
      <c r="B28" s="286"/>
      <c r="C28" s="111" t="s">
        <v>264</v>
      </c>
      <c r="D28" s="117">
        <v>2022</v>
      </c>
      <c r="E28" s="118">
        <v>40.725999999999999</v>
      </c>
      <c r="F28" s="118">
        <v>43.325000000000003</v>
      </c>
      <c r="G28" s="118">
        <v>865.80100000000004</v>
      </c>
      <c r="H28" s="118">
        <v>1155</v>
      </c>
      <c r="J28" s="118">
        <v>11.313000000000001</v>
      </c>
      <c r="K28" s="118">
        <v>12.035</v>
      </c>
      <c r="M28" s="118">
        <v>9.7949999999999999</v>
      </c>
      <c r="N28" s="118">
        <v>10.42</v>
      </c>
    </row>
    <row r="29" spans="2:16" ht="16.5" thickTop="1" thickBot="1" x14ac:dyDescent="0.3">
      <c r="B29" s="286"/>
      <c r="C29" s="141" t="s">
        <v>18</v>
      </c>
      <c r="D29" s="117">
        <v>2022</v>
      </c>
      <c r="E29" s="118">
        <v>45.944000000000003</v>
      </c>
      <c r="F29" s="145">
        <v>49.332999999999998</v>
      </c>
      <c r="G29" s="145">
        <v>529.70500000000004</v>
      </c>
      <c r="H29" s="145">
        <v>1887.8430000000001</v>
      </c>
      <c r="J29" s="118">
        <v>12.762</v>
      </c>
      <c r="K29" s="145">
        <v>13.704000000000001</v>
      </c>
      <c r="M29" s="118">
        <v>6.76</v>
      </c>
      <c r="N29" s="145">
        <v>7.2590000000000003</v>
      </c>
    </row>
    <row r="30" spans="2:16" ht="16.5" thickTop="1" thickBot="1" x14ac:dyDescent="0.3">
      <c r="B30" s="286"/>
      <c r="C30" s="141" t="s">
        <v>23</v>
      </c>
      <c r="D30" s="117">
        <v>2022</v>
      </c>
      <c r="E30" s="118">
        <v>45.46</v>
      </c>
      <c r="F30" s="145">
        <v>47.853000000000002</v>
      </c>
      <c r="G30" s="145">
        <v>673.40099999999995</v>
      </c>
      <c r="H30" s="149">
        <v>1485</v>
      </c>
      <c r="J30" s="118">
        <v>12.628</v>
      </c>
      <c r="K30" s="145">
        <v>13.292</v>
      </c>
      <c r="M30" s="118">
        <v>8.5039999999999996</v>
      </c>
      <c r="N30" s="145">
        <v>8.9510000000000005</v>
      </c>
    </row>
    <row r="31" spans="2:16" ht="16.5" thickTop="1" thickBot="1" x14ac:dyDescent="0.3">
      <c r="B31" s="286"/>
      <c r="C31" s="141" t="s">
        <v>14</v>
      </c>
      <c r="D31" s="117">
        <v>2022</v>
      </c>
      <c r="E31" s="118">
        <v>45.195</v>
      </c>
      <c r="F31" s="144">
        <v>50.08</v>
      </c>
      <c r="G31" s="145">
        <v>0.79400000000000004</v>
      </c>
      <c r="H31" s="145">
        <v>1259723.9269999999</v>
      </c>
      <c r="J31" s="118">
        <v>12.554</v>
      </c>
      <c r="K31" s="145">
        <v>13.911</v>
      </c>
      <c r="M31" s="118">
        <v>0.01</v>
      </c>
      <c r="N31" s="145">
        <v>1.0999999999999999E-2</v>
      </c>
    </row>
    <row r="32" spans="2:16" ht="16.5" thickTop="1" thickBot="1" x14ac:dyDescent="0.3">
      <c r="B32" s="286"/>
      <c r="C32" s="111" t="s">
        <v>306</v>
      </c>
      <c r="D32" s="117">
        <v>2022</v>
      </c>
      <c r="E32" s="118">
        <v>45.195</v>
      </c>
      <c r="F32" s="118">
        <v>50.08</v>
      </c>
      <c r="G32" s="118">
        <v>0.79400000000000004</v>
      </c>
      <c r="H32" s="118">
        <v>1259723.9269999999</v>
      </c>
      <c r="J32" s="118">
        <v>12.554</v>
      </c>
      <c r="K32" s="118">
        <v>13.911</v>
      </c>
      <c r="M32" s="118">
        <v>0.01</v>
      </c>
      <c r="N32" s="118">
        <v>1.0999999999999999E-2</v>
      </c>
    </row>
    <row r="33" spans="2:14" ht="16.5" thickTop="1" thickBot="1" x14ac:dyDescent="0.3">
      <c r="B33" s="286"/>
      <c r="C33" s="146" t="s">
        <v>253</v>
      </c>
      <c r="D33" s="117">
        <v>2022</v>
      </c>
      <c r="E33" s="118">
        <v>46.601999999999997</v>
      </c>
      <c r="F33" s="145">
        <v>50.654000000000003</v>
      </c>
      <c r="G33" s="148">
        <v>366.3</v>
      </c>
      <c r="H33" s="149">
        <v>2730</v>
      </c>
      <c r="J33" s="118">
        <v>12.945</v>
      </c>
      <c r="K33" s="145">
        <v>14.071</v>
      </c>
      <c r="M33" s="118">
        <v>4.742</v>
      </c>
      <c r="N33" s="145">
        <v>5.1539999999999999</v>
      </c>
    </row>
    <row r="34" spans="2:14" ht="16.5" thickTop="1" thickBot="1" x14ac:dyDescent="0.3">
      <c r="B34" s="286"/>
      <c r="C34" s="146" t="s">
        <v>24</v>
      </c>
      <c r="D34" s="117">
        <v>2022</v>
      </c>
      <c r="E34" s="118">
        <v>33.972000000000001</v>
      </c>
      <c r="F34" s="118">
        <v>35.76</v>
      </c>
      <c r="G34" s="119"/>
      <c r="H34" s="119"/>
      <c r="J34" s="118">
        <v>9.4369999999999994</v>
      </c>
      <c r="K34" s="145">
        <v>9.9329999999999998</v>
      </c>
      <c r="M34" s="120"/>
      <c r="N34" s="120"/>
    </row>
    <row r="35" spans="2:14" ht="16.5" thickTop="1" thickBot="1" x14ac:dyDescent="0.3">
      <c r="B35" s="286"/>
      <c r="C35" s="122" t="s">
        <v>266</v>
      </c>
      <c r="D35" s="117">
        <v>2022</v>
      </c>
      <c r="E35" s="118">
        <v>44.652000000000001</v>
      </c>
      <c r="F35" s="118">
        <v>47.003</v>
      </c>
      <c r="G35" s="118">
        <v>741.84</v>
      </c>
      <c r="H35" s="118">
        <v>1348</v>
      </c>
      <c r="J35" s="118">
        <v>12.403</v>
      </c>
      <c r="K35" s="118">
        <v>13.055999999999999</v>
      </c>
      <c r="M35" s="118">
        <v>9.2010000000000005</v>
      </c>
      <c r="N35" s="118">
        <v>9.6859999999999999</v>
      </c>
    </row>
    <row r="36" spans="2:14" ht="16.5" thickTop="1" thickBot="1" x14ac:dyDescent="0.3">
      <c r="B36" s="286"/>
      <c r="C36" s="147" t="s">
        <v>265</v>
      </c>
      <c r="D36" s="117">
        <v>2022</v>
      </c>
      <c r="E36" s="118">
        <v>43.616</v>
      </c>
      <c r="F36" s="145">
        <v>45.997999999999998</v>
      </c>
      <c r="G36" s="145">
        <v>744.67899999999997</v>
      </c>
      <c r="H36" s="144">
        <v>1342.86</v>
      </c>
      <c r="J36" s="118">
        <v>12.116</v>
      </c>
      <c r="K36" s="145">
        <v>12.776999999999999</v>
      </c>
      <c r="M36" s="118">
        <v>9.0220000000000002</v>
      </c>
      <c r="N36" s="145">
        <v>9.5150000000000006</v>
      </c>
    </row>
    <row r="37" spans="2:14" ht="16.5" thickTop="1" thickBot="1" x14ac:dyDescent="0.3">
      <c r="B37" s="286"/>
      <c r="C37" s="123" t="s">
        <v>254</v>
      </c>
      <c r="D37" s="117">
        <v>2022</v>
      </c>
      <c r="E37" s="118">
        <v>46.4</v>
      </c>
      <c r="F37" s="118">
        <v>50.4</v>
      </c>
      <c r="G37" s="118">
        <v>514.40300000000002</v>
      </c>
      <c r="H37" s="118">
        <v>1944</v>
      </c>
      <c r="J37" s="118">
        <v>12.888999999999999</v>
      </c>
      <c r="K37" s="118">
        <v>14</v>
      </c>
      <c r="M37" s="118">
        <v>6.63</v>
      </c>
      <c r="N37" s="118">
        <v>7.202</v>
      </c>
    </row>
    <row r="38" spans="2:14" ht="16.5" thickTop="1" thickBot="1" x14ac:dyDescent="0.3">
      <c r="B38" s="287"/>
      <c r="C38" s="123" t="s">
        <v>270</v>
      </c>
      <c r="D38" s="117">
        <v>2022</v>
      </c>
      <c r="E38" s="124">
        <v>42.207999999999998</v>
      </c>
      <c r="F38" s="125">
        <v>45.2</v>
      </c>
      <c r="G38" s="126">
        <v>844.59500000000003</v>
      </c>
      <c r="H38" s="124">
        <v>1184</v>
      </c>
      <c r="J38" s="124">
        <v>11.724</v>
      </c>
      <c r="K38" s="125">
        <v>12.555999999999999</v>
      </c>
      <c r="M38" s="124">
        <v>9.9019999999999992</v>
      </c>
      <c r="N38" s="125">
        <v>10.603999999999999</v>
      </c>
    </row>
    <row r="39" spans="2:14" ht="16.5" thickTop="1" thickBot="1" x14ac:dyDescent="0.3">
      <c r="C39" s="106"/>
      <c r="D39" s="127"/>
      <c r="E39" s="128"/>
      <c r="F39" s="128"/>
      <c r="G39" s="129"/>
      <c r="H39" s="130"/>
      <c r="J39" s="128"/>
      <c r="K39" s="128"/>
    </row>
    <row r="40" spans="2:14" ht="15.75" thickTop="1" x14ac:dyDescent="0.25">
      <c r="C40" s="288"/>
      <c r="D40" s="111" t="s">
        <v>54</v>
      </c>
      <c r="E40" s="111" t="s">
        <v>291</v>
      </c>
      <c r="F40" s="111" t="s">
        <v>292</v>
      </c>
      <c r="G40" s="111" t="s">
        <v>293</v>
      </c>
      <c r="H40" s="111" t="s">
        <v>294</v>
      </c>
      <c r="J40" s="111" t="s">
        <v>291</v>
      </c>
      <c r="K40" s="111" t="s">
        <v>292</v>
      </c>
      <c r="M40" s="111" t="s">
        <v>291</v>
      </c>
      <c r="N40" s="111" t="s">
        <v>292</v>
      </c>
    </row>
    <row r="41" spans="2:14" ht="15.75" thickBot="1" x14ac:dyDescent="0.3">
      <c r="C41" s="288"/>
      <c r="D41" s="112"/>
      <c r="E41" s="112" t="s">
        <v>295</v>
      </c>
      <c r="F41" s="112" t="s">
        <v>295</v>
      </c>
      <c r="G41" s="112" t="s">
        <v>296</v>
      </c>
      <c r="H41" s="112" t="s">
        <v>297</v>
      </c>
      <c r="J41" s="113" t="s">
        <v>298</v>
      </c>
      <c r="K41" s="113" t="s">
        <v>298</v>
      </c>
      <c r="M41" s="113" t="s">
        <v>299</v>
      </c>
      <c r="N41" s="113" t="s">
        <v>299</v>
      </c>
    </row>
    <row r="42" spans="2:14" ht="16.5" customHeight="1" thickTop="1" thickBot="1" x14ac:dyDescent="0.3">
      <c r="B42" s="285" t="s">
        <v>307</v>
      </c>
      <c r="C42" s="123" t="s">
        <v>308</v>
      </c>
      <c r="D42" s="115">
        <v>2022</v>
      </c>
      <c r="E42" s="118">
        <v>37.200000000000003</v>
      </c>
      <c r="F42" s="118">
        <v>38.700000000000003</v>
      </c>
      <c r="G42" s="118">
        <v>890</v>
      </c>
      <c r="H42" s="131">
        <v>1123.596</v>
      </c>
      <c r="I42" s="132"/>
      <c r="J42" s="118">
        <v>10.333</v>
      </c>
      <c r="K42" s="118">
        <v>10.75</v>
      </c>
      <c r="M42" s="116">
        <v>9.1969999999999992</v>
      </c>
      <c r="N42" s="116">
        <v>9.5679999999999996</v>
      </c>
    </row>
    <row r="43" spans="2:14" ht="16.5" thickTop="1" thickBot="1" x14ac:dyDescent="0.3">
      <c r="B43" s="286"/>
      <c r="C43" s="111" t="s">
        <v>309</v>
      </c>
      <c r="D43" s="117">
        <v>2022</v>
      </c>
      <c r="E43" s="118">
        <v>44</v>
      </c>
      <c r="F43" s="118">
        <v>45.832999999999998</v>
      </c>
      <c r="G43" s="118">
        <v>780</v>
      </c>
      <c r="H43" s="131">
        <v>1282.0509999999999</v>
      </c>
      <c r="I43" s="132"/>
      <c r="J43" s="118">
        <v>12.222</v>
      </c>
      <c r="K43" s="118">
        <v>12.731</v>
      </c>
      <c r="M43" s="118">
        <v>9.5329999999999995</v>
      </c>
      <c r="N43" s="118">
        <v>9.9309999999999992</v>
      </c>
    </row>
    <row r="44" spans="2:14" ht="16.5" thickTop="1" thickBot="1" x14ac:dyDescent="0.3">
      <c r="B44" s="286"/>
      <c r="C44" s="111" t="s">
        <v>310</v>
      </c>
      <c r="D44" s="117">
        <v>2022</v>
      </c>
      <c r="E44" s="118">
        <v>26.8</v>
      </c>
      <c r="F44" s="118">
        <v>29.7</v>
      </c>
      <c r="G44" s="118">
        <v>794</v>
      </c>
      <c r="H44" s="131">
        <v>1259.4459999999999</v>
      </c>
      <c r="I44" s="132"/>
      <c r="J44" s="118">
        <v>7.444</v>
      </c>
      <c r="K44" s="118">
        <v>8.25</v>
      </c>
      <c r="M44" s="118">
        <v>5.9109999999999996</v>
      </c>
      <c r="N44" s="118">
        <v>6.5510000000000002</v>
      </c>
    </row>
    <row r="45" spans="2:14" ht="16.5" thickTop="1" thickBot="1" x14ac:dyDescent="0.3">
      <c r="B45" s="286"/>
      <c r="C45" s="111" t="s">
        <v>311</v>
      </c>
      <c r="D45" s="117">
        <v>2022</v>
      </c>
      <c r="E45" s="118">
        <v>36.299999999999997</v>
      </c>
      <c r="F45" s="118">
        <v>39.628999999999998</v>
      </c>
      <c r="G45" s="118">
        <v>750</v>
      </c>
      <c r="H45" s="131">
        <v>1333.3330000000001</v>
      </c>
      <c r="I45" s="132"/>
      <c r="J45" s="118">
        <v>10.083</v>
      </c>
      <c r="K45" s="118">
        <v>11.007999999999999</v>
      </c>
      <c r="M45" s="118">
        <v>7.5629999999999997</v>
      </c>
      <c r="N45" s="118">
        <v>8.2560000000000002</v>
      </c>
    </row>
    <row r="46" spans="2:14" ht="16.5" thickTop="1" thickBot="1" x14ac:dyDescent="0.3">
      <c r="B46" s="286"/>
      <c r="C46" s="111" t="s">
        <v>312</v>
      </c>
      <c r="D46" s="117">
        <v>2022</v>
      </c>
      <c r="E46" s="118">
        <v>20</v>
      </c>
      <c r="F46" s="118">
        <v>21.978000000000002</v>
      </c>
      <c r="G46" s="118">
        <v>1.1499999999999999</v>
      </c>
      <c r="H46" s="131">
        <v>869565.21699999995</v>
      </c>
      <c r="I46" s="132"/>
      <c r="J46" s="118">
        <v>5.556</v>
      </c>
      <c r="K46" s="118">
        <v>6.1050000000000004</v>
      </c>
      <c r="M46" s="118">
        <v>6.0000000000000001E-3</v>
      </c>
      <c r="N46" s="118">
        <v>7.0000000000000001E-3</v>
      </c>
    </row>
    <row r="47" spans="2:14" ht="16.5" thickTop="1" thickBot="1" x14ac:dyDescent="0.3">
      <c r="B47" s="286"/>
      <c r="C47" s="111" t="s">
        <v>313</v>
      </c>
      <c r="D47" s="117">
        <v>2022</v>
      </c>
      <c r="E47" s="118">
        <v>49</v>
      </c>
      <c r="F47" s="118">
        <v>54.296999999999997</v>
      </c>
      <c r="G47" s="118">
        <v>0.72499999999999998</v>
      </c>
      <c r="H47" s="131">
        <v>1379355.673</v>
      </c>
      <c r="I47" s="132"/>
      <c r="J47" s="118">
        <v>13.611000000000001</v>
      </c>
      <c r="K47" s="118">
        <v>15.082000000000001</v>
      </c>
      <c r="M47" s="118">
        <v>0.01</v>
      </c>
      <c r="N47" s="118">
        <v>1.0999999999999999E-2</v>
      </c>
    </row>
    <row r="48" spans="2:14" ht="16.5" thickTop="1" thickBot="1" x14ac:dyDescent="0.3">
      <c r="B48" s="286"/>
      <c r="C48" s="111" t="s">
        <v>248</v>
      </c>
      <c r="D48" s="117">
        <v>2022</v>
      </c>
      <c r="E48" s="118">
        <v>45.195</v>
      </c>
      <c r="F48" s="118">
        <v>50.08</v>
      </c>
      <c r="G48" s="118">
        <v>175</v>
      </c>
      <c r="H48" s="131">
        <v>5714.2860000000001</v>
      </c>
      <c r="I48" s="132"/>
      <c r="J48" s="118">
        <v>12.554</v>
      </c>
      <c r="K48" s="118">
        <v>13.911</v>
      </c>
      <c r="M48" s="118">
        <v>2.1970000000000001</v>
      </c>
      <c r="N48" s="118">
        <v>2.4340000000000002</v>
      </c>
    </row>
    <row r="49" spans="2:16" ht="16.5" thickTop="1" thickBot="1" x14ac:dyDescent="0.3">
      <c r="B49" s="286"/>
      <c r="C49" s="111" t="s">
        <v>314</v>
      </c>
      <c r="D49" s="117">
        <v>2022</v>
      </c>
      <c r="E49" s="118">
        <v>13.388</v>
      </c>
      <c r="F49" s="118">
        <v>15.75</v>
      </c>
      <c r="G49" s="118">
        <v>160</v>
      </c>
      <c r="H49" s="131">
        <v>6250</v>
      </c>
      <c r="I49" s="132"/>
      <c r="J49" s="118">
        <v>3.7189999999999999</v>
      </c>
      <c r="K49" s="118">
        <v>4.375</v>
      </c>
      <c r="M49" s="120"/>
      <c r="N49" s="120"/>
    </row>
    <row r="50" spans="2:16" ht="16.5" thickTop="1" thickBot="1" x14ac:dyDescent="0.3">
      <c r="B50" s="286"/>
      <c r="C50" s="111" t="s">
        <v>315</v>
      </c>
      <c r="D50" s="117">
        <v>2022</v>
      </c>
      <c r="E50" s="118">
        <v>12.3</v>
      </c>
      <c r="F50" s="118">
        <v>13.516</v>
      </c>
      <c r="G50" s="118">
        <v>1.3</v>
      </c>
      <c r="H50" s="131">
        <v>769230.76899999997</v>
      </c>
      <c r="I50" s="132"/>
      <c r="J50" s="118">
        <v>3.4169999999999998</v>
      </c>
      <c r="K50" s="118">
        <v>3.7549999999999999</v>
      </c>
      <c r="M50" s="118">
        <v>4.0000000000000001E-3</v>
      </c>
      <c r="N50" s="118">
        <v>5.0000000000000001E-3</v>
      </c>
    </row>
    <row r="51" spans="2:16" ht="16.5" thickTop="1" thickBot="1" x14ac:dyDescent="0.3">
      <c r="B51" s="286"/>
      <c r="C51" s="111" t="s">
        <v>249</v>
      </c>
      <c r="D51" s="117">
        <v>2022</v>
      </c>
      <c r="E51" s="118">
        <v>45.195</v>
      </c>
      <c r="F51" s="118">
        <v>50.08</v>
      </c>
      <c r="G51" s="118">
        <v>452.48899999999998</v>
      </c>
      <c r="H51" s="131">
        <v>2210</v>
      </c>
      <c r="I51" s="132"/>
      <c r="J51" s="118">
        <v>12.554</v>
      </c>
      <c r="K51" s="118">
        <v>13.911</v>
      </c>
      <c r="M51" s="118">
        <v>5.681</v>
      </c>
      <c r="N51" s="118">
        <v>6.2949999999999999</v>
      </c>
    </row>
    <row r="52" spans="2:16" ht="16.5" thickTop="1" thickBot="1" x14ac:dyDescent="0.3">
      <c r="B52" s="286"/>
      <c r="C52" s="111" t="s">
        <v>316</v>
      </c>
      <c r="D52" s="117">
        <v>2022</v>
      </c>
      <c r="E52" s="118">
        <v>13.6</v>
      </c>
      <c r="F52" s="118">
        <v>14.712999999999999</v>
      </c>
      <c r="G52" s="118">
        <v>253</v>
      </c>
      <c r="H52" s="131">
        <v>3952.569</v>
      </c>
      <c r="J52" s="118">
        <v>3.778</v>
      </c>
      <c r="K52" s="118">
        <v>4.0869999999999997</v>
      </c>
      <c r="M52" s="133"/>
      <c r="N52" s="120"/>
    </row>
    <row r="53" spans="2:16" ht="16.5" thickTop="1" thickBot="1" x14ac:dyDescent="0.3">
      <c r="B53" s="286"/>
      <c r="C53" s="111" t="s">
        <v>317</v>
      </c>
      <c r="D53" s="117">
        <v>2022</v>
      </c>
      <c r="E53" s="118">
        <v>14.71</v>
      </c>
      <c r="F53" s="118">
        <v>16.256</v>
      </c>
      <c r="G53" s="118">
        <v>425</v>
      </c>
      <c r="H53" s="131">
        <v>2352.9409999999998</v>
      </c>
      <c r="J53" s="118">
        <v>4.0860000000000003</v>
      </c>
      <c r="K53" s="118">
        <v>4.516</v>
      </c>
      <c r="M53" s="134"/>
      <c r="N53" s="135"/>
    </row>
    <row r="54" spans="2:16" ht="16.5" thickTop="1" thickBot="1" x14ac:dyDescent="0.3">
      <c r="B54" s="287"/>
      <c r="C54" s="123" t="s">
        <v>318</v>
      </c>
      <c r="D54" s="136">
        <v>2022</v>
      </c>
      <c r="E54" s="124">
        <v>17.28</v>
      </c>
      <c r="F54" s="124">
        <v>18.693999999999999</v>
      </c>
      <c r="G54" s="137">
        <v>650</v>
      </c>
      <c r="H54" s="126">
        <v>1538.462</v>
      </c>
      <c r="J54" s="124">
        <v>4.8</v>
      </c>
      <c r="K54" s="124">
        <v>5.1929999999999996</v>
      </c>
      <c r="M54" s="138"/>
      <c r="N54" s="138"/>
    </row>
    <row r="55" spans="2:16" ht="16.5" thickTop="1" thickBot="1" x14ac:dyDescent="0.3">
      <c r="D55" s="139"/>
      <c r="H55" s="140"/>
    </row>
    <row r="56" spans="2:16" ht="15.75" thickTop="1" x14ac:dyDescent="0.25">
      <c r="C56" s="288"/>
      <c r="D56" s="111" t="s">
        <v>54</v>
      </c>
      <c r="E56" s="111" t="s">
        <v>291</v>
      </c>
      <c r="F56" s="111" t="s">
        <v>292</v>
      </c>
      <c r="G56" s="111" t="s">
        <v>293</v>
      </c>
      <c r="H56" s="111" t="s">
        <v>294</v>
      </c>
      <c r="J56" s="111" t="s">
        <v>291</v>
      </c>
      <c r="K56" s="111" t="s">
        <v>292</v>
      </c>
      <c r="M56" s="111" t="s">
        <v>291</v>
      </c>
      <c r="N56" s="111" t="s">
        <v>292</v>
      </c>
    </row>
    <row r="57" spans="2:16" ht="15.75" thickBot="1" x14ac:dyDescent="0.3">
      <c r="C57" s="288"/>
      <c r="D57" s="112"/>
      <c r="E57" s="112" t="s">
        <v>295</v>
      </c>
      <c r="F57" s="112" t="s">
        <v>295</v>
      </c>
      <c r="G57" s="112" t="s">
        <v>296</v>
      </c>
      <c r="H57" s="112" t="s">
        <v>297</v>
      </c>
      <c r="J57" s="113" t="s">
        <v>298</v>
      </c>
      <c r="K57" s="113" t="s">
        <v>298</v>
      </c>
      <c r="M57" s="113" t="s">
        <v>299</v>
      </c>
      <c r="N57" s="113" t="s">
        <v>299</v>
      </c>
    </row>
    <row r="58" spans="2:16" ht="17.25" customHeight="1" thickTop="1" x14ac:dyDescent="0.25">
      <c r="B58" s="285" t="s">
        <v>319</v>
      </c>
      <c r="C58" s="111" t="s">
        <v>320</v>
      </c>
      <c r="D58" s="115">
        <v>2022</v>
      </c>
      <c r="E58" s="118">
        <v>50</v>
      </c>
      <c r="F58" s="118">
        <v>55.405000000000001</v>
      </c>
      <c r="G58" s="118">
        <v>0.71599999999999997</v>
      </c>
      <c r="H58" s="131">
        <v>1397112.108</v>
      </c>
      <c r="J58" s="118">
        <v>13.888999999999999</v>
      </c>
      <c r="K58" s="118">
        <v>15.39</v>
      </c>
      <c r="M58" s="118">
        <v>0.01</v>
      </c>
      <c r="N58" s="118">
        <v>1.0999999999999999E-2</v>
      </c>
    </row>
    <row r="59" spans="2:16" ht="18.75" thickBot="1" x14ac:dyDescent="0.3">
      <c r="B59" s="287"/>
      <c r="C59" s="113" t="s">
        <v>321</v>
      </c>
      <c r="D59" s="136">
        <v>2022</v>
      </c>
      <c r="E59" s="124">
        <v>0</v>
      </c>
      <c r="F59" s="124">
        <v>0</v>
      </c>
      <c r="G59" s="137">
        <v>1.964</v>
      </c>
      <c r="H59" s="126">
        <v>509290.37800000003</v>
      </c>
      <c r="J59" s="124">
        <v>0</v>
      </c>
      <c r="K59" s="124">
        <v>0</v>
      </c>
      <c r="M59" s="124">
        <v>0</v>
      </c>
      <c r="N59" s="124">
        <v>0</v>
      </c>
    </row>
    <row r="60" spans="2:16" ht="15.75" thickTop="1" x14ac:dyDescent="0.25">
      <c r="H60" s="140"/>
    </row>
    <row r="61" spans="2:16" x14ac:dyDescent="0.25">
      <c r="B61" s="289" t="s">
        <v>322</v>
      </c>
      <c r="C61" s="289"/>
      <c r="D61" s="289"/>
      <c r="E61" s="289"/>
      <c r="F61" s="289"/>
      <c r="G61" s="289"/>
      <c r="H61" s="289"/>
      <c r="I61" s="289"/>
      <c r="J61" s="289"/>
      <c r="K61" s="289"/>
      <c r="L61" s="289"/>
      <c r="M61" s="289"/>
      <c r="N61" s="289"/>
      <c r="O61" s="289"/>
      <c r="P61" s="289"/>
    </row>
  </sheetData>
  <sheetProtection algorithmName="SHA-512" hashValue="fVwQ4gJYcfH4jI2sJQEaW7szJkiiRYW8xllblZbMcPE5N1u4hbKTVgT56KkC3MqrPgZbA5WWKciOhqMKqt6itQ==" saltValue="ThAne6odFMdPETgG0UCdYg==" spinCount="100000" sheet="1" objects="1" scenarios="1"/>
  <mergeCells count="10">
    <mergeCell ref="B42:B54"/>
    <mergeCell ref="C56:C57"/>
    <mergeCell ref="B58:B59"/>
    <mergeCell ref="B61:P61"/>
    <mergeCell ref="A1:F1"/>
    <mergeCell ref="A2:F2"/>
    <mergeCell ref="B8:P8"/>
    <mergeCell ref="C13:C14"/>
    <mergeCell ref="B15:B38"/>
    <mergeCell ref="C40:C41"/>
  </mergeCells>
  <hyperlinks>
    <hyperlink ref="A3" location="Index!A1" display="Index" xr:uid="{379C9F28-9D11-467F-B428-A226F54D35E7}"/>
  </hyperlinks>
  <pageMargins left="0.7" right="0.7" top="0.75" bottom="0.75" header="0.3" footer="0.3"/>
  <pageSetup orientation="portrait" r:id="rId1"/>
  <headerFooter alignWithMargins="0"/>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47DAA-497A-4353-8806-1B2D3FF5FF00}">
  <sheetPr codeName="Sheet9">
    <tabColor theme="4" tint="0.39997558519241921"/>
    <pageSetUpPr fitToPage="1"/>
  </sheetPr>
  <dimension ref="A1:S128"/>
  <sheetViews>
    <sheetView zoomScaleNormal="100" workbookViewId="0">
      <pane xSplit="1" ySplit="2" topLeftCell="B14" activePane="bottomRight" state="frozen"/>
      <selection pane="topRight" activeCell="M22" sqref="M22"/>
      <selection pane="bottomLeft" activeCell="M22" sqref="M22"/>
      <selection pane="bottomRight" activeCell="M22" sqref="M22"/>
    </sheetView>
  </sheetViews>
  <sheetFormatPr defaultColWidth="8.77734375" defaultRowHeight="15" x14ac:dyDescent="0.25"/>
  <cols>
    <col min="1" max="1" width="4.33203125" style="67" customWidth="1"/>
    <col min="2" max="2" width="16.109375" style="67" customWidth="1"/>
    <col min="3" max="3" width="11.21875" style="67" customWidth="1"/>
    <col min="4" max="4" width="8.5546875" style="67" customWidth="1"/>
    <col min="5" max="5" width="8.21875" style="67" customWidth="1"/>
    <col min="6" max="6" width="17.33203125" style="67" bestFit="1" customWidth="1"/>
    <col min="7" max="9" width="18.44140625" style="67" bestFit="1" customWidth="1"/>
    <col min="10" max="12" width="8.77734375" style="67"/>
    <col min="13" max="13" width="11.109375" style="67" customWidth="1"/>
    <col min="14" max="19" width="8.77734375" style="67"/>
    <col min="20" max="256" width="8.77734375" style="51"/>
    <col min="257" max="257" width="4.33203125" style="51" customWidth="1"/>
    <col min="258" max="258" width="16.109375" style="51" customWidth="1"/>
    <col min="259" max="259" width="11.21875" style="51" customWidth="1"/>
    <col min="260" max="260" width="8.5546875" style="51" customWidth="1"/>
    <col min="261" max="261" width="8.21875" style="51" customWidth="1"/>
    <col min="262" max="262" width="17.33203125" style="51" bestFit="1" customWidth="1"/>
    <col min="263" max="265" width="18.44140625" style="51" bestFit="1" customWidth="1"/>
    <col min="266" max="268" width="8.77734375" style="51"/>
    <col min="269" max="269" width="11.109375" style="51" customWidth="1"/>
    <col min="270" max="512" width="8.77734375" style="51"/>
    <col min="513" max="513" width="4.33203125" style="51" customWidth="1"/>
    <col min="514" max="514" width="16.109375" style="51" customWidth="1"/>
    <col min="515" max="515" width="11.21875" style="51" customWidth="1"/>
    <col min="516" max="516" width="8.5546875" style="51" customWidth="1"/>
    <col min="517" max="517" width="8.21875" style="51" customWidth="1"/>
    <col min="518" max="518" width="17.33203125" style="51" bestFit="1" customWidth="1"/>
    <col min="519" max="521" width="18.44140625" style="51" bestFit="1" customWidth="1"/>
    <col min="522" max="524" width="8.77734375" style="51"/>
    <col min="525" max="525" width="11.109375" style="51" customWidth="1"/>
    <col min="526" max="768" width="8.77734375" style="51"/>
    <col min="769" max="769" width="4.33203125" style="51" customWidth="1"/>
    <col min="770" max="770" width="16.109375" style="51" customWidth="1"/>
    <col min="771" max="771" width="11.21875" style="51" customWidth="1"/>
    <col min="772" max="772" width="8.5546875" style="51" customWidth="1"/>
    <col min="773" max="773" width="8.21875" style="51" customWidth="1"/>
    <col min="774" max="774" width="17.33203125" style="51" bestFit="1" customWidth="1"/>
    <col min="775" max="777" width="18.44140625" style="51" bestFit="1" customWidth="1"/>
    <col min="778" max="780" width="8.77734375" style="51"/>
    <col min="781" max="781" width="11.109375" style="51" customWidth="1"/>
    <col min="782" max="1024" width="8.77734375" style="51"/>
    <col min="1025" max="1025" width="4.33203125" style="51" customWidth="1"/>
    <col min="1026" max="1026" width="16.109375" style="51" customWidth="1"/>
    <col min="1027" max="1027" width="11.21875" style="51" customWidth="1"/>
    <col min="1028" max="1028" width="8.5546875" style="51" customWidth="1"/>
    <col min="1029" max="1029" width="8.21875" style="51" customWidth="1"/>
    <col min="1030" max="1030" width="17.33203125" style="51" bestFit="1" customWidth="1"/>
    <col min="1031" max="1033" width="18.44140625" style="51" bestFit="1" customWidth="1"/>
    <col min="1034" max="1036" width="8.77734375" style="51"/>
    <col min="1037" max="1037" width="11.109375" style="51" customWidth="1"/>
    <col min="1038" max="1280" width="8.77734375" style="51"/>
    <col min="1281" max="1281" width="4.33203125" style="51" customWidth="1"/>
    <col min="1282" max="1282" width="16.109375" style="51" customWidth="1"/>
    <col min="1283" max="1283" width="11.21875" style="51" customWidth="1"/>
    <col min="1284" max="1284" width="8.5546875" style="51" customWidth="1"/>
    <col min="1285" max="1285" width="8.21875" style="51" customWidth="1"/>
    <col min="1286" max="1286" width="17.33203125" style="51" bestFit="1" customWidth="1"/>
    <col min="1287" max="1289" width="18.44140625" style="51" bestFit="1" customWidth="1"/>
    <col min="1290" max="1292" width="8.77734375" style="51"/>
    <col min="1293" max="1293" width="11.109375" style="51" customWidth="1"/>
    <col min="1294" max="1536" width="8.77734375" style="51"/>
    <col min="1537" max="1537" width="4.33203125" style="51" customWidth="1"/>
    <col min="1538" max="1538" width="16.109375" style="51" customWidth="1"/>
    <col min="1539" max="1539" width="11.21875" style="51" customWidth="1"/>
    <col min="1540" max="1540" width="8.5546875" style="51" customWidth="1"/>
    <col min="1541" max="1541" width="8.21875" style="51" customWidth="1"/>
    <col min="1542" max="1542" width="17.33203125" style="51" bestFit="1" customWidth="1"/>
    <col min="1543" max="1545" width="18.44140625" style="51" bestFit="1" customWidth="1"/>
    <col min="1546" max="1548" width="8.77734375" style="51"/>
    <col min="1549" max="1549" width="11.109375" style="51" customWidth="1"/>
    <col min="1550" max="1792" width="8.77734375" style="51"/>
    <col min="1793" max="1793" width="4.33203125" style="51" customWidth="1"/>
    <col min="1794" max="1794" width="16.109375" style="51" customWidth="1"/>
    <col min="1795" max="1795" width="11.21875" style="51" customWidth="1"/>
    <col min="1796" max="1796" width="8.5546875" style="51" customWidth="1"/>
    <col min="1797" max="1797" width="8.21875" style="51" customWidth="1"/>
    <col min="1798" max="1798" width="17.33203125" style="51" bestFit="1" customWidth="1"/>
    <col min="1799" max="1801" width="18.44140625" style="51" bestFit="1" customWidth="1"/>
    <col min="1802" max="1804" width="8.77734375" style="51"/>
    <col min="1805" max="1805" width="11.109375" style="51" customWidth="1"/>
    <col min="1806" max="2048" width="8.77734375" style="51"/>
    <col min="2049" max="2049" width="4.33203125" style="51" customWidth="1"/>
    <col min="2050" max="2050" width="16.109375" style="51" customWidth="1"/>
    <col min="2051" max="2051" width="11.21875" style="51" customWidth="1"/>
    <col min="2052" max="2052" width="8.5546875" style="51" customWidth="1"/>
    <col min="2053" max="2053" width="8.21875" style="51" customWidth="1"/>
    <col min="2054" max="2054" width="17.33203125" style="51" bestFit="1" customWidth="1"/>
    <col min="2055" max="2057" width="18.44140625" style="51" bestFit="1" customWidth="1"/>
    <col min="2058" max="2060" width="8.77734375" style="51"/>
    <col min="2061" max="2061" width="11.109375" style="51" customWidth="1"/>
    <col min="2062" max="2304" width="8.77734375" style="51"/>
    <col min="2305" max="2305" width="4.33203125" style="51" customWidth="1"/>
    <col min="2306" max="2306" width="16.109375" style="51" customWidth="1"/>
    <col min="2307" max="2307" width="11.21875" style="51" customWidth="1"/>
    <col min="2308" max="2308" width="8.5546875" style="51" customWidth="1"/>
    <col min="2309" max="2309" width="8.21875" style="51" customWidth="1"/>
    <col min="2310" max="2310" width="17.33203125" style="51" bestFit="1" customWidth="1"/>
    <col min="2311" max="2313" width="18.44140625" style="51" bestFit="1" customWidth="1"/>
    <col min="2314" max="2316" width="8.77734375" style="51"/>
    <col min="2317" max="2317" width="11.109375" style="51" customWidth="1"/>
    <col min="2318" max="2560" width="8.77734375" style="51"/>
    <col min="2561" max="2561" width="4.33203125" style="51" customWidth="1"/>
    <col min="2562" max="2562" width="16.109375" style="51" customWidth="1"/>
    <col min="2563" max="2563" width="11.21875" style="51" customWidth="1"/>
    <col min="2564" max="2564" width="8.5546875" style="51" customWidth="1"/>
    <col min="2565" max="2565" width="8.21875" style="51" customWidth="1"/>
    <col min="2566" max="2566" width="17.33203125" style="51" bestFit="1" customWidth="1"/>
    <col min="2567" max="2569" width="18.44140625" style="51" bestFit="1" customWidth="1"/>
    <col min="2570" max="2572" width="8.77734375" style="51"/>
    <col min="2573" max="2573" width="11.109375" style="51" customWidth="1"/>
    <col min="2574" max="2816" width="8.77734375" style="51"/>
    <col min="2817" max="2817" width="4.33203125" style="51" customWidth="1"/>
    <col min="2818" max="2818" width="16.109375" style="51" customWidth="1"/>
    <col min="2819" max="2819" width="11.21875" style="51" customWidth="1"/>
    <col min="2820" max="2820" width="8.5546875" style="51" customWidth="1"/>
    <col min="2821" max="2821" width="8.21875" style="51" customWidth="1"/>
    <col min="2822" max="2822" width="17.33203125" style="51" bestFit="1" customWidth="1"/>
    <col min="2823" max="2825" width="18.44140625" style="51" bestFit="1" customWidth="1"/>
    <col min="2826" max="2828" width="8.77734375" style="51"/>
    <col min="2829" max="2829" width="11.109375" style="51" customWidth="1"/>
    <col min="2830" max="3072" width="8.77734375" style="51"/>
    <col min="3073" max="3073" width="4.33203125" style="51" customWidth="1"/>
    <col min="3074" max="3074" width="16.109375" style="51" customWidth="1"/>
    <col min="3075" max="3075" width="11.21875" style="51" customWidth="1"/>
    <col min="3076" max="3076" width="8.5546875" style="51" customWidth="1"/>
    <col min="3077" max="3077" width="8.21875" style="51" customWidth="1"/>
    <col min="3078" max="3078" width="17.33203125" style="51" bestFit="1" customWidth="1"/>
    <col min="3079" max="3081" width="18.44140625" style="51" bestFit="1" customWidth="1"/>
    <col min="3082" max="3084" width="8.77734375" style="51"/>
    <col min="3085" max="3085" width="11.109375" style="51" customWidth="1"/>
    <col min="3086" max="3328" width="8.77734375" style="51"/>
    <col min="3329" max="3329" width="4.33203125" style="51" customWidth="1"/>
    <col min="3330" max="3330" width="16.109375" style="51" customWidth="1"/>
    <col min="3331" max="3331" width="11.21875" style="51" customWidth="1"/>
    <col min="3332" max="3332" width="8.5546875" style="51" customWidth="1"/>
    <col min="3333" max="3333" width="8.21875" style="51" customWidth="1"/>
    <col min="3334" max="3334" width="17.33203125" style="51" bestFit="1" customWidth="1"/>
    <col min="3335" max="3337" width="18.44140625" style="51" bestFit="1" customWidth="1"/>
    <col min="3338" max="3340" width="8.77734375" style="51"/>
    <col min="3341" max="3341" width="11.109375" style="51" customWidth="1"/>
    <col min="3342" max="3584" width="8.77734375" style="51"/>
    <col min="3585" max="3585" width="4.33203125" style="51" customWidth="1"/>
    <col min="3586" max="3586" width="16.109375" style="51" customWidth="1"/>
    <col min="3587" max="3587" width="11.21875" style="51" customWidth="1"/>
    <col min="3588" max="3588" width="8.5546875" style="51" customWidth="1"/>
    <col min="3589" max="3589" width="8.21875" style="51" customWidth="1"/>
    <col min="3590" max="3590" width="17.33203125" style="51" bestFit="1" customWidth="1"/>
    <col min="3591" max="3593" width="18.44140625" style="51" bestFit="1" customWidth="1"/>
    <col min="3594" max="3596" width="8.77734375" style="51"/>
    <col min="3597" max="3597" width="11.109375" style="51" customWidth="1"/>
    <col min="3598" max="3840" width="8.77734375" style="51"/>
    <col min="3841" max="3841" width="4.33203125" style="51" customWidth="1"/>
    <col min="3842" max="3842" width="16.109375" style="51" customWidth="1"/>
    <col min="3843" max="3843" width="11.21875" style="51" customWidth="1"/>
    <col min="3844" max="3844" width="8.5546875" style="51" customWidth="1"/>
    <col min="3845" max="3845" width="8.21875" style="51" customWidth="1"/>
    <col min="3846" max="3846" width="17.33203125" style="51" bestFit="1" customWidth="1"/>
    <col min="3847" max="3849" width="18.44140625" style="51" bestFit="1" customWidth="1"/>
    <col min="3850" max="3852" width="8.77734375" style="51"/>
    <col min="3853" max="3853" width="11.109375" style="51" customWidth="1"/>
    <col min="3854" max="4096" width="8.77734375" style="51"/>
    <col min="4097" max="4097" width="4.33203125" style="51" customWidth="1"/>
    <col min="4098" max="4098" width="16.109375" style="51" customWidth="1"/>
    <col min="4099" max="4099" width="11.21875" style="51" customWidth="1"/>
    <col min="4100" max="4100" width="8.5546875" style="51" customWidth="1"/>
    <col min="4101" max="4101" width="8.21875" style="51" customWidth="1"/>
    <col min="4102" max="4102" width="17.33203125" style="51" bestFit="1" customWidth="1"/>
    <col min="4103" max="4105" width="18.44140625" style="51" bestFit="1" customWidth="1"/>
    <col min="4106" max="4108" width="8.77734375" style="51"/>
    <col min="4109" max="4109" width="11.109375" style="51" customWidth="1"/>
    <col min="4110" max="4352" width="8.77734375" style="51"/>
    <col min="4353" max="4353" width="4.33203125" style="51" customWidth="1"/>
    <col min="4354" max="4354" width="16.109375" style="51" customWidth="1"/>
    <col min="4355" max="4355" width="11.21875" style="51" customWidth="1"/>
    <col min="4356" max="4356" width="8.5546875" style="51" customWidth="1"/>
    <col min="4357" max="4357" width="8.21875" style="51" customWidth="1"/>
    <col min="4358" max="4358" width="17.33203125" style="51" bestFit="1" customWidth="1"/>
    <col min="4359" max="4361" width="18.44140625" style="51" bestFit="1" customWidth="1"/>
    <col min="4362" max="4364" width="8.77734375" style="51"/>
    <col min="4365" max="4365" width="11.109375" style="51" customWidth="1"/>
    <col min="4366" max="4608" width="8.77734375" style="51"/>
    <col min="4609" max="4609" width="4.33203125" style="51" customWidth="1"/>
    <col min="4610" max="4610" width="16.109375" style="51" customWidth="1"/>
    <col min="4611" max="4611" width="11.21875" style="51" customWidth="1"/>
    <col min="4612" max="4612" width="8.5546875" style="51" customWidth="1"/>
    <col min="4613" max="4613" width="8.21875" style="51" customWidth="1"/>
    <col min="4614" max="4614" width="17.33203125" style="51" bestFit="1" customWidth="1"/>
    <col min="4615" max="4617" width="18.44140625" style="51" bestFit="1" customWidth="1"/>
    <col min="4618" max="4620" width="8.77734375" style="51"/>
    <col min="4621" max="4621" width="11.109375" style="51" customWidth="1"/>
    <col min="4622" max="4864" width="8.77734375" style="51"/>
    <col min="4865" max="4865" width="4.33203125" style="51" customWidth="1"/>
    <col min="4866" max="4866" width="16.109375" style="51" customWidth="1"/>
    <col min="4867" max="4867" width="11.21875" style="51" customWidth="1"/>
    <col min="4868" max="4868" width="8.5546875" style="51" customWidth="1"/>
    <col min="4869" max="4869" width="8.21875" style="51" customWidth="1"/>
    <col min="4870" max="4870" width="17.33203125" style="51" bestFit="1" customWidth="1"/>
    <col min="4871" max="4873" width="18.44140625" style="51" bestFit="1" customWidth="1"/>
    <col min="4874" max="4876" width="8.77734375" style="51"/>
    <col min="4877" max="4877" width="11.109375" style="51" customWidth="1"/>
    <col min="4878" max="5120" width="8.77734375" style="51"/>
    <col min="5121" max="5121" width="4.33203125" style="51" customWidth="1"/>
    <col min="5122" max="5122" width="16.109375" style="51" customWidth="1"/>
    <col min="5123" max="5123" width="11.21875" style="51" customWidth="1"/>
    <col min="5124" max="5124" width="8.5546875" style="51" customWidth="1"/>
    <col min="5125" max="5125" width="8.21875" style="51" customWidth="1"/>
    <col min="5126" max="5126" width="17.33203125" style="51" bestFit="1" customWidth="1"/>
    <col min="5127" max="5129" width="18.44140625" style="51" bestFit="1" customWidth="1"/>
    <col min="5130" max="5132" width="8.77734375" style="51"/>
    <col min="5133" max="5133" width="11.109375" style="51" customWidth="1"/>
    <col min="5134" max="5376" width="8.77734375" style="51"/>
    <col min="5377" max="5377" width="4.33203125" style="51" customWidth="1"/>
    <col min="5378" max="5378" width="16.109375" style="51" customWidth="1"/>
    <col min="5379" max="5379" width="11.21875" style="51" customWidth="1"/>
    <col min="5380" max="5380" width="8.5546875" style="51" customWidth="1"/>
    <col min="5381" max="5381" width="8.21875" style="51" customWidth="1"/>
    <col min="5382" max="5382" width="17.33203125" style="51" bestFit="1" customWidth="1"/>
    <col min="5383" max="5385" width="18.44140625" style="51" bestFit="1" customWidth="1"/>
    <col min="5386" max="5388" width="8.77734375" style="51"/>
    <col min="5389" max="5389" width="11.109375" style="51" customWidth="1"/>
    <col min="5390" max="5632" width="8.77734375" style="51"/>
    <col min="5633" max="5633" width="4.33203125" style="51" customWidth="1"/>
    <col min="5634" max="5634" width="16.109375" style="51" customWidth="1"/>
    <col min="5635" max="5635" width="11.21875" style="51" customWidth="1"/>
    <col min="5636" max="5636" width="8.5546875" style="51" customWidth="1"/>
    <col min="5637" max="5637" width="8.21875" style="51" customWidth="1"/>
    <col min="5638" max="5638" width="17.33203125" style="51" bestFit="1" customWidth="1"/>
    <col min="5639" max="5641" width="18.44140625" style="51" bestFit="1" customWidth="1"/>
    <col min="5642" max="5644" width="8.77734375" style="51"/>
    <col min="5645" max="5645" width="11.109375" style="51" customWidth="1"/>
    <col min="5646" max="5888" width="8.77734375" style="51"/>
    <col min="5889" max="5889" width="4.33203125" style="51" customWidth="1"/>
    <col min="5890" max="5890" width="16.109375" style="51" customWidth="1"/>
    <col min="5891" max="5891" width="11.21875" style="51" customWidth="1"/>
    <col min="5892" max="5892" width="8.5546875" style="51" customWidth="1"/>
    <col min="5893" max="5893" width="8.21875" style="51" customWidth="1"/>
    <col min="5894" max="5894" width="17.33203125" style="51" bestFit="1" customWidth="1"/>
    <col min="5895" max="5897" width="18.44140625" style="51" bestFit="1" customWidth="1"/>
    <col min="5898" max="5900" width="8.77734375" style="51"/>
    <col min="5901" max="5901" width="11.109375" style="51" customWidth="1"/>
    <col min="5902" max="6144" width="8.77734375" style="51"/>
    <col min="6145" max="6145" width="4.33203125" style="51" customWidth="1"/>
    <col min="6146" max="6146" width="16.109375" style="51" customWidth="1"/>
    <col min="6147" max="6147" width="11.21875" style="51" customWidth="1"/>
    <col min="6148" max="6148" width="8.5546875" style="51" customWidth="1"/>
    <col min="6149" max="6149" width="8.21875" style="51" customWidth="1"/>
    <col min="6150" max="6150" width="17.33203125" style="51" bestFit="1" customWidth="1"/>
    <col min="6151" max="6153" width="18.44140625" style="51" bestFit="1" customWidth="1"/>
    <col min="6154" max="6156" width="8.77734375" style="51"/>
    <col min="6157" max="6157" width="11.109375" style="51" customWidth="1"/>
    <col min="6158" max="6400" width="8.77734375" style="51"/>
    <col min="6401" max="6401" width="4.33203125" style="51" customWidth="1"/>
    <col min="6402" max="6402" width="16.109375" style="51" customWidth="1"/>
    <col min="6403" max="6403" width="11.21875" style="51" customWidth="1"/>
    <col min="6404" max="6404" width="8.5546875" style="51" customWidth="1"/>
    <col min="6405" max="6405" width="8.21875" style="51" customWidth="1"/>
    <col min="6406" max="6406" width="17.33203125" style="51" bestFit="1" customWidth="1"/>
    <col min="6407" max="6409" width="18.44140625" style="51" bestFit="1" customWidth="1"/>
    <col min="6410" max="6412" width="8.77734375" style="51"/>
    <col min="6413" max="6413" width="11.109375" style="51" customWidth="1"/>
    <col min="6414" max="6656" width="8.77734375" style="51"/>
    <col min="6657" max="6657" width="4.33203125" style="51" customWidth="1"/>
    <col min="6658" max="6658" width="16.109375" style="51" customWidth="1"/>
    <col min="6659" max="6659" width="11.21875" style="51" customWidth="1"/>
    <col min="6660" max="6660" width="8.5546875" style="51" customWidth="1"/>
    <col min="6661" max="6661" width="8.21875" style="51" customWidth="1"/>
    <col min="6662" max="6662" width="17.33203125" style="51" bestFit="1" customWidth="1"/>
    <col min="6663" max="6665" width="18.44140625" style="51" bestFit="1" customWidth="1"/>
    <col min="6666" max="6668" width="8.77734375" style="51"/>
    <col min="6669" max="6669" width="11.109375" style="51" customWidth="1"/>
    <col min="6670" max="6912" width="8.77734375" style="51"/>
    <col min="6913" max="6913" width="4.33203125" style="51" customWidth="1"/>
    <col min="6914" max="6914" width="16.109375" style="51" customWidth="1"/>
    <col min="6915" max="6915" width="11.21875" style="51" customWidth="1"/>
    <col min="6916" max="6916" width="8.5546875" style="51" customWidth="1"/>
    <col min="6917" max="6917" width="8.21875" style="51" customWidth="1"/>
    <col min="6918" max="6918" width="17.33203125" style="51" bestFit="1" customWidth="1"/>
    <col min="6919" max="6921" width="18.44140625" style="51" bestFit="1" customWidth="1"/>
    <col min="6922" max="6924" width="8.77734375" style="51"/>
    <col min="6925" max="6925" width="11.109375" style="51" customWidth="1"/>
    <col min="6926" max="7168" width="8.77734375" style="51"/>
    <col min="7169" max="7169" width="4.33203125" style="51" customWidth="1"/>
    <col min="7170" max="7170" width="16.109375" style="51" customWidth="1"/>
    <col min="7171" max="7171" width="11.21875" style="51" customWidth="1"/>
    <col min="7172" max="7172" width="8.5546875" style="51" customWidth="1"/>
    <col min="7173" max="7173" width="8.21875" style="51" customWidth="1"/>
    <col min="7174" max="7174" width="17.33203125" style="51" bestFit="1" customWidth="1"/>
    <col min="7175" max="7177" width="18.44140625" style="51" bestFit="1" customWidth="1"/>
    <col min="7178" max="7180" width="8.77734375" style="51"/>
    <col min="7181" max="7181" width="11.109375" style="51" customWidth="1"/>
    <col min="7182" max="7424" width="8.77734375" style="51"/>
    <col min="7425" max="7425" width="4.33203125" style="51" customWidth="1"/>
    <col min="7426" max="7426" width="16.109375" style="51" customWidth="1"/>
    <col min="7427" max="7427" width="11.21875" style="51" customWidth="1"/>
    <col min="7428" max="7428" width="8.5546875" style="51" customWidth="1"/>
    <col min="7429" max="7429" width="8.21875" style="51" customWidth="1"/>
    <col min="7430" max="7430" width="17.33203125" style="51" bestFit="1" customWidth="1"/>
    <col min="7431" max="7433" width="18.44140625" style="51" bestFit="1" customWidth="1"/>
    <col min="7434" max="7436" width="8.77734375" style="51"/>
    <col min="7437" max="7437" width="11.109375" style="51" customWidth="1"/>
    <col min="7438" max="7680" width="8.77734375" style="51"/>
    <col min="7681" max="7681" width="4.33203125" style="51" customWidth="1"/>
    <col min="7682" max="7682" width="16.109375" style="51" customWidth="1"/>
    <col min="7683" max="7683" width="11.21875" style="51" customWidth="1"/>
    <col min="7684" max="7684" width="8.5546875" style="51" customWidth="1"/>
    <col min="7685" max="7685" width="8.21875" style="51" customWidth="1"/>
    <col min="7686" max="7686" width="17.33203125" style="51" bestFit="1" customWidth="1"/>
    <col min="7687" max="7689" width="18.44140625" style="51" bestFit="1" customWidth="1"/>
    <col min="7690" max="7692" width="8.77734375" style="51"/>
    <col min="7693" max="7693" width="11.109375" style="51" customWidth="1"/>
    <col min="7694" max="7936" width="8.77734375" style="51"/>
    <col min="7937" max="7937" width="4.33203125" style="51" customWidth="1"/>
    <col min="7938" max="7938" width="16.109375" style="51" customWidth="1"/>
    <col min="7939" max="7939" width="11.21875" style="51" customWidth="1"/>
    <col min="7940" max="7940" width="8.5546875" style="51" customWidth="1"/>
    <col min="7941" max="7941" width="8.21875" style="51" customWidth="1"/>
    <col min="7942" max="7942" width="17.33203125" style="51" bestFit="1" customWidth="1"/>
    <col min="7943" max="7945" width="18.44140625" style="51" bestFit="1" customWidth="1"/>
    <col min="7946" max="7948" width="8.77734375" style="51"/>
    <col min="7949" max="7949" width="11.109375" style="51" customWidth="1"/>
    <col min="7950" max="8192" width="8.77734375" style="51"/>
    <col min="8193" max="8193" width="4.33203125" style="51" customWidth="1"/>
    <col min="8194" max="8194" width="16.109375" style="51" customWidth="1"/>
    <col min="8195" max="8195" width="11.21875" style="51" customWidth="1"/>
    <col min="8196" max="8196" width="8.5546875" style="51" customWidth="1"/>
    <col min="8197" max="8197" width="8.21875" style="51" customWidth="1"/>
    <col min="8198" max="8198" width="17.33203125" style="51" bestFit="1" customWidth="1"/>
    <col min="8199" max="8201" width="18.44140625" style="51" bestFit="1" customWidth="1"/>
    <col min="8202" max="8204" width="8.77734375" style="51"/>
    <col min="8205" max="8205" width="11.109375" style="51" customWidth="1"/>
    <col min="8206" max="8448" width="8.77734375" style="51"/>
    <col min="8449" max="8449" width="4.33203125" style="51" customWidth="1"/>
    <col min="8450" max="8450" width="16.109375" style="51" customWidth="1"/>
    <col min="8451" max="8451" width="11.21875" style="51" customWidth="1"/>
    <col min="8452" max="8452" width="8.5546875" style="51" customWidth="1"/>
    <col min="8453" max="8453" width="8.21875" style="51" customWidth="1"/>
    <col min="8454" max="8454" width="17.33203125" style="51" bestFit="1" customWidth="1"/>
    <col min="8455" max="8457" width="18.44140625" style="51" bestFit="1" customWidth="1"/>
    <col min="8458" max="8460" width="8.77734375" style="51"/>
    <col min="8461" max="8461" width="11.109375" style="51" customWidth="1"/>
    <col min="8462" max="8704" width="8.77734375" style="51"/>
    <col min="8705" max="8705" width="4.33203125" style="51" customWidth="1"/>
    <col min="8706" max="8706" width="16.109375" style="51" customWidth="1"/>
    <col min="8707" max="8707" width="11.21875" style="51" customWidth="1"/>
    <col min="8708" max="8708" width="8.5546875" style="51" customWidth="1"/>
    <col min="8709" max="8709" width="8.21875" style="51" customWidth="1"/>
    <col min="8710" max="8710" width="17.33203125" style="51" bestFit="1" customWidth="1"/>
    <col min="8711" max="8713" width="18.44140625" style="51" bestFit="1" customWidth="1"/>
    <col min="8714" max="8716" width="8.77734375" style="51"/>
    <col min="8717" max="8717" width="11.109375" style="51" customWidth="1"/>
    <col min="8718" max="8960" width="8.77734375" style="51"/>
    <col min="8961" max="8961" width="4.33203125" style="51" customWidth="1"/>
    <col min="8962" max="8962" width="16.109375" style="51" customWidth="1"/>
    <col min="8963" max="8963" width="11.21875" style="51" customWidth="1"/>
    <col min="8964" max="8964" width="8.5546875" style="51" customWidth="1"/>
    <col min="8965" max="8965" width="8.21875" style="51" customWidth="1"/>
    <col min="8966" max="8966" width="17.33203125" style="51" bestFit="1" customWidth="1"/>
    <col min="8967" max="8969" width="18.44140625" style="51" bestFit="1" customWidth="1"/>
    <col min="8970" max="8972" width="8.77734375" style="51"/>
    <col min="8973" max="8973" width="11.109375" style="51" customWidth="1"/>
    <col min="8974" max="9216" width="8.77734375" style="51"/>
    <col min="9217" max="9217" width="4.33203125" style="51" customWidth="1"/>
    <col min="9218" max="9218" width="16.109375" style="51" customWidth="1"/>
    <col min="9219" max="9219" width="11.21875" style="51" customWidth="1"/>
    <col min="9220" max="9220" width="8.5546875" style="51" customWidth="1"/>
    <col min="9221" max="9221" width="8.21875" style="51" customWidth="1"/>
    <col min="9222" max="9222" width="17.33203125" style="51" bestFit="1" customWidth="1"/>
    <col min="9223" max="9225" width="18.44140625" style="51" bestFit="1" customWidth="1"/>
    <col min="9226" max="9228" width="8.77734375" style="51"/>
    <col min="9229" max="9229" width="11.109375" style="51" customWidth="1"/>
    <col min="9230" max="9472" width="8.77734375" style="51"/>
    <col min="9473" max="9473" width="4.33203125" style="51" customWidth="1"/>
    <col min="9474" max="9474" width="16.109375" style="51" customWidth="1"/>
    <col min="9475" max="9475" width="11.21875" style="51" customWidth="1"/>
    <col min="9476" max="9476" width="8.5546875" style="51" customWidth="1"/>
    <col min="9477" max="9477" width="8.21875" style="51" customWidth="1"/>
    <col min="9478" max="9478" width="17.33203125" style="51" bestFit="1" customWidth="1"/>
    <col min="9479" max="9481" width="18.44140625" style="51" bestFit="1" customWidth="1"/>
    <col min="9482" max="9484" width="8.77734375" style="51"/>
    <col min="9485" max="9485" width="11.109375" style="51" customWidth="1"/>
    <col min="9486" max="9728" width="8.77734375" style="51"/>
    <col min="9729" max="9729" width="4.33203125" style="51" customWidth="1"/>
    <col min="9730" max="9730" width="16.109375" style="51" customWidth="1"/>
    <col min="9731" max="9731" width="11.21875" style="51" customWidth="1"/>
    <col min="9732" max="9732" width="8.5546875" style="51" customWidth="1"/>
    <col min="9733" max="9733" width="8.21875" style="51" customWidth="1"/>
    <col min="9734" max="9734" width="17.33203125" style="51" bestFit="1" customWidth="1"/>
    <col min="9735" max="9737" width="18.44140625" style="51" bestFit="1" customWidth="1"/>
    <col min="9738" max="9740" width="8.77734375" style="51"/>
    <col min="9741" max="9741" width="11.109375" style="51" customWidth="1"/>
    <col min="9742" max="9984" width="8.77734375" style="51"/>
    <col min="9985" max="9985" width="4.33203125" style="51" customWidth="1"/>
    <col min="9986" max="9986" width="16.109375" style="51" customWidth="1"/>
    <col min="9987" max="9987" width="11.21875" style="51" customWidth="1"/>
    <col min="9988" max="9988" width="8.5546875" style="51" customWidth="1"/>
    <col min="9989" max="9989" width="8.21875" style="51" customWidth="1"/>
    <col min="9990" max="9990" width="17.33203125" style="51" bestFit="1" customWidth="1"/>
    <col min="9991" max="9993" width="18.44140625" style="51" bestFit="1" customWidth="1"/>
    <col min="9994" max="9996" width="8.77734375" style="51"/>
    <col min="9997" max="9997" width="11.109375" style="51" customWidth="1"/>
    <col min="9998" max="10240" width="8.77734375" style="51"/>
    <col min="10241" max="10241" width="4.33203125" style="51" customWidth="1"/>
    <col min="10242" max="10242" width="16.109375" style="51" customWidth="1"/>
    <col min="10243" max="10243" width="11.21875" style="51" customWidth="1"/>
    <col min="10244" max="10244" width="8.5546875" style="51" customWidth="1"/>
    <col min="10245" max="10245" width="8.21875" style="51" customWidth="1"/>
    <col min="10246" max="10246" width="17.33203125" style="51" bestFit="1" customWidth="1"/>
    <col min="10247" max="10249" width="18.44140625" style="51" bestFit="1" customWidth="1"/>
    <col min="10250" max="10252" width="8.77734375" style="51"/>
    <col min="10253" max="10253" width="11.109375" style="51" customWidth="1"/>
    <col min="10254" max="10496" width="8.77734375" style="51"/>
    <col min="10497" max="10497" width="4.33203125" style="51" customWidth="1"/>
    <col min="10498" max="10498" width="16.109375" style="51" customWidth="1"/>
    <col min="10499" max="10499" width="11.21875" style="51" customWidth="1"/>
    <col min="10500" max="10500" width="8.5546875" style="51" customWidth="1"/>
    <col min="10501" max="10501" width="8.21875" style="51" customWidth="1"/>
    <col min="10502" max="10502" width="17.33203125" style="51" bestFit="1" customWidth="1"/>
    <col min="10503" max="10505" width="18.44140625" style="51" bestFit="1" customWidth="1"/>
    <col min="10506" max="10508" width="8.77734375" style="51"/>
    <col min="10509" max="10509" width="11.109375" style="51" customWidth="1"/>
    <col min="10510" max="10752" width="8.77734375" style="51"/>
    <col min="10753" max="10753" width="4.33203125" style="51" customWidth="1"/>
    <col min="10754" max="10754" width="16.109375" style="51" customWidth="1"/>
    <col min="10755" max="10755" width="11.21875" style="51" customWidth="1"/>
    <col min="10756" max="10756" width="8.5546875" style="51" customWidth="1"/>
    <col min="10757" max="10757" width="8.21875" style="51" customWidth="1"/>
    <col min="10758" max="10758" width="17.33203125" style="51" bestFit="1" customWidth="1"/>
    <col min="10759" max="10761" width="18.44140625" style="51" bestFit="1" customWidth="1"/>
    <col min="10762" max="10764" width="8.77734375" style="51"/>
    <col min="10765" max="10765" width="11.109375" style="51" customWidth="1"/>
    <col min="10766" max="11008" width="8.77734375" style="51"/>
    <col min="11009" max="11009" width="4.33203125" style="51" customWidth="1"/>
    <col min="11010" max="11010" width="16.109375" style="51" customWidth="1"/>
    <col min="11011" max="11011" width="11.21875" style="51" customWidth="1"/>
    <col min="11012" max="11012" width="8.5546875" style="51" customWidth="1"/>
    <col min="11013" max="11013" width="8.21875" style="51" customWidth="1"/>
    <col min="11014" max="11014" width="17.33203125" style="51" bestFit="1" customWidth="1"/>
    <col min="11015" max="11017" width="18.44140625" style="51" bestFit="1" customWidth="1"/>
    <col min="11018" max="11020" width="8.77734375" style="51"/>
    <col min="11021" max="11021" width="11.109375" style="51" customWidth="1"/>
    <col min="11022" max="11264" width="8.77734375" style="51"/>
    <col min="11265" max="11265" width="4.33203125" style="51" customWidth="1"/>
    <col min="11266" max="11266" width="16.109375" style="51" customWidth="1"/>
    <col min="11267" max="11267" width="11.21875" style="51" customWidth="1"/>
    <col min="11268" max="11268" width="8.5546875" style="51" customWidth="1"/>
    <col min="11269" max="11269" width="8.21875" style="51" customWidth="1"/>
    <col min="11270" max="11270" width="17.33203125" style="51" bestFit="1" customWidth="1"/>
    <col min="11271" max="11273" width="18.44140625" style="51" bestFit="1" customWidth="1"/>
    <col min="11274" max="11276" width="8.77734375" style="51"/>
    <col min="11277" max="11277" width="11.109375" style="51" customWidth="1"/>
    <col min="11278" max="11520" width="8.77734375" style="51"/>
    <col min="11521" max="11521" width="4.33203125" style="51" customWidth="1"/>
    <col min="11522" max="11522" width="16.109375" style="51" customWidth="1"/>
    <col min="11523" max="11523" width="11.21875" style="51" customWidth="1"/>
    <col min="11524" max="11524" width="8.5546875" style="51" customWidth="1"/>
    <col min="11525" max="11525" width="8.21875" style="51" customWidth="1"/>
    <col min="11526" max="11526" width="17.33203125" style="51" bestFit="1" customWidth="1"/>
    <col min="11527" max="11529" width="18.44140625" style="51" bestFit="1" customWidth="1"/>
    <col min="11530" max="11532" width="8.77734375" style="51"/>
    <col min="11533" max="11533" width="11.109375" style="51" customWidth="1"/>
    <col min="11534" max="11776" width="8.77734375" style="51"/>
    <col min="11777" max="11777" width="4.33203125" style="51" customWidth="1"/>
    <col min="11778" max="11778" width="16.109375" style="51" customWidth="1"/>
    <col min="11779" max="11779" width="11.21875" style="51" customWidth="1"/>
    <col min="11780" max="11780" width="8.5546875" style="51" customWidth="1"/>
    <col min="11781" max="11781" width="8.21875" style="51" customWidth="1"/>
    <col min="11782" max="11782" width="17.33203125" style="51" bestFit="1" customWidth="1"/>
    <col min="11783" max="11785" width="18.44140625" style="51" bestFit="1" customWidth="1"/>
    <col min="11786" max="11788" width="8.77734375" style="51"/>
    <col min="11789" max="11789" width="11.109375" style="51" customWidth="1"/>
    <col min="11790" max="12032" width="8.77734375" style="51"/>
    <col min="12033" max="12033" width="4.33203125" style="51" customWidth="1"/>
    <col min="12034" max="12034" width="16.109375" style="51" customWidth="1"/>
    <col min="12035" max="12035" width="11.21875" style="51" customWidth="1"/>
    <col min="12036" max="12036" width="8.5546875" style="51" customWidth="1"/>
    <col min="12037" max="12037" width="8.21875" style="51" customWidth="1"/>
    <col min="12038" max="12038" width="17.33203125" style="51" bestFit="1" customWidth="1"/>
    <col min="12039" max="12041" width="18.44140625" style="51" bestFit="1" customWidth="1"/>
    <col min="12042" max="12044" width="8.77734375" style="51"/>
    <col min="12045" max="12045" width="11.109375" style="51" customWidth="1"/>
    <col min="12046" max="12288" width="8.77734375" style="51"/>
    <col min="12289" max="12289" width="4.33203125" style="51" customWidth="1"/>
    <col min="12290" max="12290" width="16.109375" style="51" customWidth="1"/>
    <col min="12291" max="12291" width="11.21875" style="51" customWidth="1"/>
    <col min="12292" max="12292" width="8.5546875" style="51" customWidth="1"/>
    <col min="12293" max="12293" width="8.21875" style="51" customWidth="1"/>
    <col min="12294" max="12294" width="17.33203125" style="51" bestFit="1" customWidth="1"/>
    <col min="12295" max="12297" width="18.44140625" style="51" bestFit="1" customWidth="1"/>
    <col min="12298" max="12300" width="8.77734375" style="51"/>
    <col min="12301" max="12301" width="11.109375" style="51" customWidth="1"/>
    <col min="12302" max="12544" width="8.77734375" style="51"/>
    <col min="12545" max="12545" width="4.33203125" style="51" customWidth="1"/>
    <col min="12546" max="12546" width="16.109375" style="51" customWidth="1"/>
    <col min="12547" max="12547" width="11.21875" style="51" customWidth="1"/>
    <col min="12548" max="12548" width="8.5546875" style="51" customWidth="1"/>
    <col min="12549" max="12549" width="8.21875" style="51" customWidth="1"/>
    <col min="12550" max="12550" width="17.33203125" style="51" bestFit="1" customWidth="1"/>
    <col min="12551" max="12553" width="18.44140625" style="51" bestFit="1" customWidth="1"/>
    <col min="12554" max="12556" width="8.77734375" style="51"/>
    <col min="12557" max="12557" width="11.109375" style="51" customWidth="1"/>
    <col min="12558" max="12800" width="8.77734375" style="51"/>
    <col min="12801" max="12801" width="4.33203125" style="51" customWidth="1"/>
    <col min="12802" max="12802" width="16.109375" style="51" customWidth="1"/>
    <col min="12803" max="12803" width="11.21875" style="51" customWidth="1"/>
    <col min="12804" max="12804" width="8.5546875" style="51" customWidth="1"/>
    <col min="12805" max="12805" width="8.21875" style="51" customWidth="1"/>
    <col min="12806" max="12806" width="17.33203125" style="51" bestFit="1" customWidth="1"/>
    <col min="12807" max="12809" width="18.44140625" style="51" bestFit="1" customWidth="1"/>
    <col min="12810" max="12812" width="8.77734375" style="51"/>
    <col min="12813" max="12813" width="11.109375" style="51" customWidth="1"/>
    <col min="12814" max="13056" width="8.77734375" style="51"/>
    <col min="13057" max="13057" width="4.33203125" style="51" customWidth="1"/>
    <col min="13058" max="13058" width="16.109375" style="51" customWidth="1"/>
    <col min="13059" max="13059" width="11.21875" style="51" customWidth="1"/>
    <col min="13060" max="13060" width="8.5546875" style="51" customWidth="1"/>
    <col min="13061" max="13061" width="8.21875" style="51" customWidth="1"/>
    <col min="13062" max="13062" width="17.33203125" style="51" bestFit="1" customWidth="1"/>
    <col min="13063" max="13065" width="18.44140625" style="51" bestFit="1" customWidth="1"/>
    <col min="13066" max="13068" width="8.77734375" style="51"/>
    <col min="13069" max="13069" width="11.109375" style="51" customWidth="1"/>
    <col min="13070" max="13312" width="8.77734375" style="51"/>
    <col min="13313" max="13313" width="4.33203125" style="51" customWidth="1"/>
    <col min="13314" max="13314" width="16.109375" style="51" customWidth="1"/>
    <col min="13315" max="13315" width="11.21875" style="51" customWidth="1"/>
    <col min="13316" max="13316" width="8.5546875" style="51" customWidth="1"/>
    <col min="13317" max="13317" width="8.21875" style="51" customWidth="1"/>
    <col min="13318" max="13318" width="17.33203125" style="51" bestFit="1" customWidth="1"/>
    <col min="13319" max="13321" width="18.44140625" style="51" bestFit="1" customWidth="1"/>
    <col min="13322" max="13324" width="8.77734375" style="51"/>
    <col min="13325" max="13325" width="11.109375" style="51" customWidth="1"/>
    <col min="13326" max="13568" width="8.77734375" style="51"/>
    <col min="13569" max="13569" width="4.33203125" style="51" customWidth="1"/>
    <col min="13570" max="13570" width="16.109375" style="51" customWidth="1"/>
    <col min="13571" max="13571" width="11.21875" style="51" customWidth="1"/>
    <col min="13572" max="13572" width="8.5546875" style="51" customWidth="1"/>
    <col min="13573" max="13573" width="8.21875" style="51" customWidth="1"/>
    <col min="13574" max="13574" width="17.33203125" style="51" bestFit="1" customWidth="1"/>
    <col min="13575" max="13577" width="18.44140625" style="51" bestFit="1" customWidth="1"/>
    <col min="13578" max="13580" width="8.77734375" style="51"/>
    <col min="13581" max="13581" width="11.109375" style="51" customWidth="1"/>
    <col min="13582" max="13824" width="8.77734375" style="51"/>
    <col min="13825" max="13825" width="4.33203125" style="51" customWidth="1"/>
    <col min="13826" max="13826" width="16.109375" style="51" customWidth="1"/>
    <col min="13827" max="13827" width="11.21875" style="51" customWidth="1"/>
    <col min="13828" max="13828" width="8.5546875" style="51" customWidth="1"/>
    <col min="13829" max="13829" width="8.21875" style="51" customWidth="1"/>
    <col min="13830" max="13830" width="17.33203125" style="51" bestFit="1" customWidth="1"/>
    <col min="13831" max="13833" width="18.44140625" style="51" bestFit="1" customWidth="1"/>
    <col min="13834" max="13836" width="8.77734375" style="51"/>
    <col min="13837" max="13837" width="11.109375" style="51" customWidth="1"/>
    <col min="13838" max="14080" width="8.77734375" style="51"/>
    <col min="14081" max="14081" width="4.33203125" style="51" customWidth="1"/>
    <col min="14082" max="14082" width="16.109375" style="51" customWidth="1"/>
    <col min="14083" max="14083" width="11.21875" style="51" customWidth="1"/>
    <col min="14084" max="14084" width="8.5546875" style="51" customWidth="1"/>
    <col min="14085" max="14085" width="8.21875" style="51" customWidth="1"/>
    <col min="14086" max="14086" width="17.33203125" style="51" bestFit="1" customWidth="1"/>
    <col min="14087" max="14089" width="18.44140625" style="51" bestFit="1" customWidth="1"/>
    <col min="14090" max="14092" width="8.77734375" style="51"/>
    <col min="14093" max="14093" width="11.109375" style="51" customWidth="1"/>
    <col min="14094" max="14336" width="8.77734375" style="51"/>
    <col min="14337" max="14337" width="4.33203125" style="51" customWidth="1"/>
    <col min="14338" max="14338" width="16.109375" style="51" customWidth="1"/>
    <col min="14339" max="14339" width="11.21875" style="51" customWidth="1"/>
    <col min="14340" max="14340" width="8.5546875" style="51" customWidth="1"/>
    <col min="14341" max="14341" width="8.21875" style="51" customWidth="1"/>
    <col min="14342" max="14342" width="17.33203125" style="51" bestFit="1" customWidth="1"/>
    <col min="14343" max="14345" width="18.44140625" style="51" bestFit="1" customWidth="1"/>
    <col min="14346" max="14348" width="8.77734375" style="51"/>
    <col min="14349" max="14349" width="11.109375" style="51" customWidth="1"/>
    <col min="14350" max="14592" width="8.77734375" style="51"/>
    <col min="14593" max="14593" width="4.33203125" style="51" customWidth="1"/>
    <col min="14594" max="14594" width="16.109375" style="51" customWidth="1"/>
    <col min="14595" max="14595" width="11.21875" style="51" customWidth="1"/>
    <col min="14596" max="14596" width="8.5546875" style="51" customWidth="1"/>
    <col min="14597" max="14597" width="8.21875" style="51" customWidth="1"/>
    <col min="14598" max="14598" width="17.33203125" style="51" bestFit="1" customWidth="1"/>
    <col min="14599" max="14601" width="18.44140625" style="51" bestFit="1" customWidth="1"/>
    <col min="14602" max="14604" width="8.77734375" style="51"/>
    <col min="14605" max="14605" width="11.109375" style="51" customWidth="1"/>
    <col min="14606" max="14848" width="8.77734375" style="51"/>
    <col min="14849" max="14849" width="4.33203125" style="51" customWidth="1"/>
    <col min="14850" max="14850" width="16.109375" style="51" customWidth="1"/>
    <col min="14851" max="14851" width="11.21875" style="51" customWidth="1"/>
    <col min="14852" max="14852" width="8.5546875" style="51" customWidth="1"/>
    <col min="14853" max="14853" width="8.21875" style="51" customWidth="1"/>
    <col min="14854" max="14854" width="17.33203125" style="51" bestFit="1" customWidth="1"/>
    <col min="14855" max="14857" width="18.44140625" style="51" bestFit="1" customWidth="1"/>
    <col min="14858" max="14860" width="8.77734375" style="51"/>
    <col min="14861" max="14861" width="11.109375" style="51" customWidth="1"/>
    <col min="14862" max="15104" width="8.77734375" style="51"/>
    <col min="15105" max="15105" width="4.33203125" style="51" customWidth="1"/>
    <col min="15106" max="15106" width="16.109375" style="51" customWidth="1"/>
    <col min="15107" max="15107" width="11.21875" style="51" customWidth="1"/>
    <col min="15108" max="15108" width="8.5546875" style="51" customWidth="1"/>
    <col min="15109" max="15109" width="8.21875" style="51" customWidth="1"/>
    <col min="15110" max="15110" width="17.33203125" style="51" bestFit="1" customWidth="1"/>
    <col min="15111" max="15113" width="18.44140625" style="51" bestFit="1" customWidth="1"/>
    <col min="15114" max="15116" width="8.77734375" style="51"/>
    <col min="15117" max="15117" width="11.109375" style="51" customWidth="1"/>
    <col min="15118" max="15360" width="8.77734375" style="51"/>
    <col min="15361" max="15361" width="4.33203125" style="51" customWidth="1"/>
    <col min="15362" max="15362" width="16.109375" style="51" customWidth="1"/>
    <col min="15363" max="15363" width="11.21875" style="51" customWidth="1"/>
    <col min="15364" max="15364" width="8.5546875" style="51" customWidth="1"/>
    <col min="15365" max="15365" width="8.21875" style="51" customWidth="1"/>
    <col min="15366" max="15366" width="17.33203125" style="51" bestFit="1" customWidth="1"/>
    <col min="15367" max="15369" width="18.44140625" style="51" bestFit="1" customWidth="1"/>
    <col min="15370" max="15372" width="8.77734375" style="51"/>
    <col min="15373" max="15373" width="11.109375" style="51" customWidth="1"/>
    <col min="15374" max="15616" width="8.77734375" style="51"/>
    <col min="15617" max="15617" width="4.33203125" style="51" customWidth="1"/>
    <col min="15618" max="15618" width="16.109375" style="51" customWidth="1"/>
    <col min="15619" max="15619" width="11.21875" style="51" customWidth="1"/>
    <col min="15620" max="15620" width="8.5546875" style="51" customWidth="1"/>
    <col min="15621" max="15621" width="8.21875" style="51" customWidth="1"/>
    <col min="15622" max="15622" width="17.33203125" style="51" bestFit="1" customWidth="1"/>
    <col min="15623" max="15625" width="18.44140625" style="51" bestFit="1" customWidth="1"/>
    <col min="15626" max="15628" width="8.77734375" style="51"/>
    <col min="15629" max="15629" width="11.109375" style="51" customWidth="1"/>
    <col min="15630" max="15872" width="8.77734375" style="51"/>
    <col min="15873" max="15873" width="4.33203125" style="51" customWidth="1"/>
    <col min="15874" max="15874" width="16.109375" style="51" customWidth="1"/>
    <col min="15875" max="15875" width="11.21875" style="51" customWidth="1"/>
    <col min="15876" max="15876" width="8.5546875" style="51" customWidth="1"/>
    <col min="15877" max="15877" width="8.21875" style="51" customWidth="1"/>
    <col min="15878" max="15878" width="17.33203125" style="51" bestFit="1" customWidth="1"/>
    <col min="15879" max="15881" width="18.44140625" style="51" bestFit="1" customWidth="1"/>
    <col min="15882" max="15884" width="8.77734375" style="51"/>
    <col min="15885" max="15885" width="11.109375" style="51" customWidth="1"/>
    <col min="15886" max="16128" width="8.77734375" style="51"/>
    <col min="16129" max="16129" width="4.33203125" style="51" customWidth="1"/>
    <col min="16130" max="16130" width="16.109375" style="51" customWidth="1"/>
    <col min="16131" max="16131" width="11.21875" style="51" customWidth="1"/>
    <col min="16132" max="16132" width="8.5546875" style="51" customWidth="1"/>
    <col min="16133" max="16133" width="8.21875" style="51" customWidth="1"/>
    <col min="16134" max="16134" width="17.33203125" style="51" bestFit="1" customWidth="1"/>
    <col min="16135" max="16137" width="18.44140625" style="51" bestFit="1" customWidth="1"/>
    <col min="16138" max="16140" width="8.77734375" style="51"/>
    <col min="16141" max="16141" width="11.109375" style="51" customWidth="1"/>
    <col min="16142" max="16384" width="8.77734375" style="51"/>
  </cols>
  <sheetData>
    <row r="1" spans="1:19" s="1" customFormat="1" ht="11.25" x14ac:dyDescent="0.2">
      <c r="A1" s="240" t="s">
        <v>212</v>
      </c>
      <c r="B1" s="240"/>
      <c r="C1" s="240"/>
      <c r="D1" s="240"/>
      <c r="E1" s="240"/>
      <c r="F1" s="240"/>
      <c r="G1" s="240"/>
      <c r="H1" s="240"/>
      <c r="I1" s="240"/>
      <c r="J1" s="240"/>
      <c r="K1" s="240"/>
      <c r="L1" s="240"/>
      <c r="M1" s="2"/>
      <c r="N1" s="2"/>
      <c r="O1" s="2"/>
      <c r="P1" s="2"/>
      <c r="Q1" s="2"/>
      <c r="R1" s="2"/>
      <c r="S1" s="2"/>
    </row>
    <row r="2" spans="1:19" ht="21" x14ac:dyDescent="0.35">
      <c r="A2" s="241" t="s">
        <v>323</v>
      </c>
      <c r="B2" s="241"/>
      <c r="C2" s="241"/>
      <c r="D2" s="241"/>
      <c r="E2" s="241"/>
      <c r="F2" s="241"/>
      <c r="G2" s="51"/>
      <c r="H2" s="51"/>
      <c r="I2" s="51"/>
      <c r="J2" s="51"/>
      <c r="K2" s="51"/>
      <c r="L2" s="51"/>
      <c r="M2" s="51"/>
      <c r="N2" s="51"/>
      <c r="O2" s="51"/>
      <c r="P2" s="51"/>
      <c r="Q2" s="51"/>
      <c r="R2" s="51"/>
      <c r="S2" s="51"/>
    </row>
    <row r="3" spans="1:19" x14ac:dyDescent="0.25">
      <c r="A3" s="5" t="s">
        <v>214</v>
      </c>
      <c r="B3" s="51"/>
      <c r="C3" s="51"/>
      <c r="D3" s="51"/>
      <c r="E3" s="51"/>
      <c r="F3" s="51"/>
      <c r="G3" s="51"/>
      <c r="H3" s="51"/>
      <c r="I3" s="51"/>
      <c r="J3" s="51"/>
      <c r="K3" s="51"/>
      <c r="L3" s="51"/>
      <c r="M3" s="51"/>
      <c r="N3" s="51"/>
      <c r="O3" s="51"/>
      <c r="P3" s="51"/>
      <c r="Q3" s="51"/>
      <c r="R3" s="51"/>
      <c r="S3" s="51"/>
    </row>
    <row r="4" spans="1:19" s="52" customFormat="1" ht="7.5" thickBot="1" x14ac:dyDescent="0.2"/>
    <row r="5" spans="1:19" ht="41.25" thickTop="1" x14ac:dyDescent="0.25">
      <c r="A5" s="51"/>
      <c r="B5" s="9" t="s">
        <v>215</v>
      </c>
      <c r="C5" s="10" t="s">
        <v>323</v>
      </c>
      <c r="D5" s="9" t="s">
        <v>216</v>
      </c>
      <c r="E5" s="11">
        <v>45085</v>
      </c>
      <c r="F5" s="12" t="s">
        <v>217</v>
      </c>
      <c r="G5" s="11" t="s">
        <v>218</v>
      </c>
      <c r="H5" s="51"/>
      <c r="I5" s="51"/>
      <c r="J5" s="51"/>
      <c r="K5" s="51"/>
      <c r="L5" s="51"/>
      <c r="M5" s="51"/>
      <c r="N5" s="51"/>
      <c r="O5" s="51"/>
      <c r="P5" s="51"/>
      <c r="Q5" s="51"/>
      <c r="R5" s="51"/>
      <c r="S5" s="51"/>
    </row>
    <row r="6" spans="1:19" ht="15.75" thickBot="1" x14ac:dyDescent="0.3">
      <c r="A6" s="51"/>
      <c r="B6" s="13" t="s">
        <v>219</v>
      </c>
      <c r="C6" s="14" t="s">
        <v>324</v>
      </c>
      <c r="D6" s="15" t="s">
        <v>221</v>
      </c>
      <c r="E6" s="16">
        <v>2</v>
      </c>
      <c r="F6" s="15" t="s">
        <v>222</v>
      </c>
      <c r="G6" s="17">
        <v>2022</v>
      </c>
      <c r="H6" s="51"/>
      <c r="I6" s="51"/>
      <c r="J6" s="51"/>
      <c r="K6" s="51"/>
      <c r="L6" s="51"/>
      <c r="M6" s="51"/>
      <c r="N6" s="51"/>
      <c r="O6" s="51"/>
      <c r="P6" s="51"/>
      <c r="Q6" s="51"/>
      <c r="R6" s="51"/>
      <c r="S6" s="51"/>
    </row>
    <row r="7" spans="1:19" ht="16.5" thickTop="1" thickBot="1" x14ac:dyDescent="0.3">
      <c r="A7" s="51"/>
      <c r="B7" s="51"/>
      <c r="C7" s="51"/>
      <c r="D7" s="51"/>
      <c r="E7" s="51"/>
      <c r="F7" s="51"/>
      <c r="G7" s="51"/>
      <c r="H7" s="51"/>
      <c r="I7" s="51"/>
      <c r="J7" s="51"/>
      <c r="K7" s="51"/>
      <c r="L7" s="51"/>
      <c r="M7" s="51"/>
      <c r="N7" s="51"/>
      <c r="O7" s="51"/>
      <c r="P7" s="51"/>
      <c r="Q7" s="51"/>
      <c r="R7" s="51"/>
      <c r="S7" s="51"/>
    </row>
    <row r="8" spans="1:19" ht="50.25" customHeight="1" thickTop="1" thickBot="1" x14ac:dyDescent="0.3">
      <c r="A8" s="51"/>
      <c r="B8" s="295" t="s">
        <v>325</v>
      </c>
      <c r="C8" s="296"/>
      <c r="D8" s="296"/>
      <c r="E8" s="296"/>
      <c r="F8" s="296"/>
      <c r="G8" s="296"/>
      <c r="H8" s="296"/>
      <c r="I8" s="296"/>
      <c r="J8" s="296"/>
      <c r="K8" s="296"/>
      <c r="L8" s="296"/>
      <c r="M8" s="297"/>
      <c r="N8" s="51"/>
      <c r="O8" s="51"/>
      <c r="P8" s="51"/>
      <c r="Q8" s="51"/>
      <c r="R8" s="51"/>
      <c r="S8" s="51"/>
    </row>
    <row r="9" spans="1:19" ht="15.75" thickTop="1" x14ac:dyDescent="0.25">
      <c r="A9" s="51"/>
      <c r="B9" s="298"/>
      <c r="C9" s="299"/>
      <c r="D9" s="299"/>
      <c r="E9" s="299"/>
      <c r="F9" s="299"/>
      <c r="G9" s="299"/>
      <c r="H9" s="299"/>
      <c r="I9" s="299"/>
      <c r="J9" s="299"/>
      <c r="K9" s="299"/>
      <c r="L9" s="299"/>
      <c r="M9" s="299"/>
      <c r="N9" s="51"/>
      <c r="O9" s="51"/>
      <c r="P9" s="51"/>
      <c r="Q9" s="51"/>
      <c r="R9" s="51"/>
      <c r="S9" s="51"/>
    </row>
    <row r="10" spans="1:19" ht="15.75" x14ac:dyDescent="0.25">
      <c r="A10" s="51"/>
      <c r="B10" s="300" t="s">
        <v>224</v>
      </c>
      <c r="C10" s="300"/>
      <c r="D10" s="300"/>
      <c r="E10" s="300"/>
      <c r="F10" s="300"/>
      <c r="G10" s="300"/>
      <c r="H10" s="300"/>
      <c r="I10" s="300"/>
      <c r="J10" s="300"/>
      <c r="K10" s="300"/>
      <c r="L10" s="300"/>
      <c r="M10" s="300"/>
      <c r="N10" s="51"/>
      <c r="O10" s="51"/>
      <c r="P10" s="51"/>
      <c r="Q10" s="51"/>
      <c r="R10" s="51"/>
      <c r="S10" s="51"/>
    </row>
    <row r="11" spans="1:19" ht="24" customHeight="1" x14ac:dyDescent="0.25">
      <c r="A11" s="51"/>
      <c r="B11" s="298" t="s">
        <v>326</v>
      </c>
      <c r="C11" s="298"/>
      <c r="D11" s="298"/>
      <c r="E11" s="298"/>
      <c r="F11" s="298"/>
      <c r="G11" s="298"/>
      <c r="H11" s="298"/>
      <c r="I11" s="298"/>
      <c r="J11" s="298"/>
      <c r="K11" s="298"/>
      <c r="L11" s="298"/>
      <c r="M11" s="298"/>
      <c r="N11" s="51"/>
      <c r="O11" s="51"/>
      <c r="P11" s="51"/>
      <c r="Q11" s="51"/>
      <c r="R11" s="51"/>
      <c r="S11" s="51"/>
    </row>
    <row r="12" spans="1:19" ht="94.9" customHeight="1" x14ac:dyDescent="0.25">
      <c r="A12" s="51"/>
      <c r="B12" s="299" t="s">
        <v>327</v>
      </c>
      <c r="C12" s="299"/>
      <c r="D12" s="299"/>
      <c r="E12" s="299"/>
      <c r="F12" s="299"/>
      <c r="G12" s="299"/>
      <c r="H12" s="299"/>
      <c r="I12" s="299"/>
      <c r="J12" s="299"/>
      <c r="K12" s="299"/>
      <c r="L12" s="299"/>
      <c r="M12" s="299"/>
      <c r="N12" s="54"/>
      <c r="O12" s="51"/>
      <c r="P12" s="51"/>
      <c r="Q12" s="51"/>
      <c r="R12" s="51"/>
      <c r="S12" s="51"/>
    </row>
    <row r="13" spans="1:19" ht="38.1" customHeight="1" x14ac:dyDescent="0.25">
      <c r="A13" s="51"/>
      <c r="B13" s="298" t="s">
        <v>328</v>
      </c>
      <c r="C13" s="298"/>
      <c r="D13" s="298"/>
      <c r="E13" s="298"/>
      <c r="F13" s="298"/>
      <c r="G13" s="298"/>
      <c r="H13" s="298"/>
      <c r="I13" s="298"/>
      <c r="J13" s="298"/>
      <c r="K13" s="298"/>
      <c r="L13" s="298"/>
      <c r="M13" s="298"/>
      <c r="N13" s="51"/>
      <c r="O13" s="51"/>
      <c r="P13" s="51"/>
      <c r="Q13" s="51"/>
      <c r="R13" s="51"/>
      <c r="S13" s="51"/>
    </row>
    <row r="14" spans="1:19" ht="35.1" customHeight="1" x14ac:dyDescent="0.25">
      <c r="A14" s="51"/>
      <c r="B14" s="299" t="s">
        <v>329</v>
      </c>
      <c r="C14" s="299"/>
      <c r="D14" s="299"/>
      <c r="E14" s="299"/>
      <c r="F14" s="299"/>
      <c r="G14" s="299"/>
      <c r="H14" s="299"/>
      <c r="I14" s="299"/>
      <c r="J14" s="299"/>
      <c r="K14" s="299"/>
      <c r="L14" s="299"/>
      <c r="M14" s="299"/>
      <c r="N14" s="51"/>
      <c r="O14" s="51"/>
      <c r="P14" s="51"/>
      <c r="Q14" s="51"/>
      <c r="R14" s="51"/>
      <c r="S14" s="51"/>
    </row>
    <row r="15" spans="1:19" ht="43.35" customHeight="1" x14ac:dyDescent="0.25">
      <c r="A15" s="51"/>
      <c r="B15" s="298" t="s">
        <v>330</v>
      </c>
      <c r="C15" s="298"/>
      <c r="D15" s="298"/>
      <c r="E15" s="298"/>
      <c r="F15" s="298"/>
      <c r="G15" s="298"/>
      <c r="H15" s="298"/>
      <c r="I15" s="298"/>
      <c r="J15" s="298"/>
      <c r="K15" s="298"/>
      <c r="L15" s="298"/>
      <c r="M15" s="298"/>
      <c r="N15" s="51"/>
      <c r="O15" s="51"/>
      <c r="P15" s="51"/>
      <c r="Q15" s="51"/>
      <c r="R15" s="51"/>
      <c r="S15" s="51"/>
    </row>
    <row r="16" spans="1:19" ht="10.5" customHeight="1" x14ac:dyDescent="0.25">
      <c r="A16" s="51"/>
      <c r="B16" s="53"/>
      <c r="C16" s="53"/>
      <c r="D16" s="53"/>
      <c r="E16" s="53"/>
      <c r="F16" s="53"/>
      <c r="G16" s="53"/>
      <c r="H16" s="53"/>
      <c r="I16" s="53"/>
      <c r="J16" s="53"/>
      <c r="K16" s="53"/>
      <c r="L16" s="53"/>
      <c r="M16" s="53"/>
      <c r="N16" s="51"/>
      <c r="O16" s="51"/>
      <c r="P16" s="51"/>
      <c r="Q16" s="51"/>
      <c r="R16" s="51"/>
      <c r="S16" s="51"/>
    </row>
    <row r="17" spans="1:19" ht="15.75" x14ac:dyDescent="0.25">
      <c r="A17" s="51"/>
      <c r="B17" s="55" t="s">
        <v>331</v>
      </c>
      <c r="C17" s="56"/>
      <c r="D17" s="56"/>
      <c r="E17" s="56"/>
      <c r="F17" s="56"/>
      <c r="G17" s="56"/>
      <c r="H17" s="56"/>
      <c r="I17" s="56"/>
      <c r="J17" s="56"/>
      <c r="K17" s="56"/>
      <c r="L17" s="56"/>
      <c r="M17" s="56"/>
      <c r="N17" s="51"/>
      <c r="O17" s="51"/>
      <c r="P17" s="51"/>
      <c r="Q17" s="51"/>
      <c r="R17" s="51"/>
      <c r="S17" s="51"/>
    </row>
    <row r="18" spans="1:19" s="57" customFormat="1" ht="166.5" customHeight="1" x14ac:dyDescent="0.2">
      <c r="B18" s="294" t="s">
        <v>332</v>
      </c>
      <c r="C18" s="294"/>
      <c r="D18" s="294"/>
      <c r="E18" s="294"/>
      <c r="F18" s="294"/>
      <c r="G18" s="294"/>
      <c r="H18" s="294"/>
      <c r="I18" s="294"/>
      <c r="J18" s="294"/>
      <c r="K18" s="294"/>
      <c r="L18" s="294"/>
      <c r="M18" s="294"/>
    </row>
    <row r="19" spans="1:19" ht="19.350000000000001" customHeight="1" x14ac:dyDescent="0.25">
      <c r="A19" s="51"/>
      <c r="B19" s="300" t="s">
        <v>333</v>
      </c>
      <c r="C19" s="300"/>
      <c r="D19" s="300"/>
      <c r="E19" s="300"/>
      <c r="F19" s="300"/>
      <c r="G19" s="300"/>
      <c r="H19" s="300"/>
      <c r="I19" s="300"/>
      <c r="J19" s="300"/>
      <c r="K19" s="300"/>
      <c r="L19" s="300"/>
      <c r="M19" s="300"/>
      <c r="N19" s="51"/>
      <c r="O19" s="51"/>
      <c r="P19" s="51"/>
      <c r="Q19" s="51"/>
      <c r="R19" s="51"/>
      <c r="S19" s="51"/>
    </row>
    <row r="20" spans="1:19" ht="18.75" customHeight="1" x14ac:dyDescent="0.25">
      <c r="A20" s="51"/>
      <c r="B20" s="298" t="s">
        <v>334</v>
      </c>
      <c r="C20" s="298"/>
      <c r="D20" s="298"/>
      <c r="E20" s="298"/>
      <c r="F20" s="298"/>
      <c r="G20" s="298"/>
      <c r="H20" s="298"/>
      <c r="I20" s="298"/>
      <c r="J20" s="298"/>
      <c r="K20" s="298"/>
      <c r="L20" s="298"/>
      <c r="M20" s="298"/>
      <c r="N20" s="51"/>
      <c r="O20" s="51"/>
      <c r="P20" s="51"/>
      <c r="Q20" s="51"/>
      <c r="R20" s="51"/>
      <c r="S20" s="51"/>
    </row>
    <row r="21" spans="1:19" ht="24" customHeight="1" x14ac:dyDescent="0.25">
      <c r="A21" s="51"/>
      <c r="B21" s="298" t="s">
        <v>335</v>
      </c>
      <c r="C21" s="298"/>
      <c r="D21" s="298"/>
      <c r="E21" s="298"/>
      <c r="F21" s="298"/>
      <c r="G21" s="298"/>
      <c r="H21" s="298"/>
      <c r="I21" s="298"/>
      <c r="J21" s="298"/>
      <c r="K21" s="298"/>
      <c r="L21" s="298"/>
      <c r="M21" s="298"/>
      <c r="N21" s="51"/>
      <c r="O21" s="51"/>
      <c r="P21" s="51"/>
      <c r="Q21" s="51"/>
      <c r="R21" s="51"/>
      <c r="S21" s="51"/>
    </row>
    <row r="22" spans="1:19" s="31" customFormat="1" ht="26.25" customHeight="1" x14ac:dyDescent="0.25">
      <c r="B22" s="58"/>
      <c r="C22" s="58"/>
      <c r="D22" s="58"/>
      <c r="E22" s="58"/>
      <c r="F22" s="58"/>
      <c r="G22" s="58"/>
      <c r="H22" s="58"/>
      <c r="I22" s="58"/>
      <c r="J22" s="58"/>
      <c r="K22" s="58"/>
      <c r="L22" s="58"/>
      <c r="M22" s="58"/>
    </row>
    <row r="23" spans="1:19" s="31" customFormat="1" ht="18" x14ac:dyDescent="0.35">
      <c r="B23" s="59" t="s">
        <v>235</v>
      </c>
      <c r="C23" s="22" t="s">
        <v>336</v>
      </c>
      <c r="D23" s="22" t="s">
        <v>237</v>
      </c>
      <c r="E23" s="23" t="s">
        <v>54</v>
      </c>
      <c r="F23" s="23" t="s">
        <v>238</v>
      </c>
      <c r="G23" s="23" t="s">
        <v>239</v>
      </c>
      <c r="H23" s="23" t="s">
        <v>240</v>
      </c>
      <c r="I23" s="23" t="s">
        <v>241</v>
      </c>
    </row>
    <row r="24" spans="1:19" s="31" customFormat="1" x14ac:dyDescent="0.25">
      <c r="B24" s="60" t="s">
        <v>337</v>
      </c>
      <c r="C24" s="23" t="s">
        <v>338</v>
      </c>
      <c r="D24" s="23" t="s">
        <v>339</v>
      </c>
      <c r="E24" s="61">
        <v>2022</v>
      </c>
      <c r="F24" s="62">
        <v>0.19338</v>
      </c>
      <c r="G24" s="62">
        <v>0.19120999999999999</v>
      </c>
      <c r="H24" s="62">
        <v>8.0000000000000004E-4</v>
      </c>
      <c r="I24" s="62">
        <v>1.3699999999999999E-3</v>
      </c>
      <c r="N24" s="63"/>
    </row>
    <row r="25" spans="1:19" s="31" customFormat="1" x14ac:dyDescent="0.25">
      <c r="B25" s="58"/>
      <c r="C25" s="57"/>
      <c r="D25" s="57"/>
      <c r="E25" s="57"/>
      <c r="F25" s="57"/>
      <c r="G25" s="57"/>
      <c r="H25" s="57"/>
      <c r="I25" s="57"/>
      <c r="J25" s="57"/>
      <c r="K25" s="57"/>
      <c r="L25" s="57"/>
      <c r="M25" s="57"/>
    </row>
    <row r="26" spans="1:19" s="31" customFormat="1" x14ac:dyDescent="0.25">
      <c r="B26" s="58"/>
      <c r="C26" s="57"/>
      <c r="D26" s="57"/>
      <c r="E26" s="57"/>
      <c r="F26" s="57"/>
      <c r="G26" s="57"/>
      <c r="H26" s="57"/>
      <c r="I26" s="57"/>
      <c r="J26" s="57"/>
      <c r="K26" s="57"/>
      <c r="L26" s="57"/>
      <c r="M26" s="57"/>
    </row>
    <row r="27" spans="1:19" s="64" customFormat="1" ht="15.75" x14ac:dyDescent="0.25">
      <c r="B27" s="300" t="s">
        <v>279</v>
      </c>
      <c r="C27" s="300"/>
      <c r="D27" s="300"/>
      <c r="E27" s="300"/>
      <c r="F27" s="300"/>
      <c r="G27" s="300"/>
      <c r="H27" s="300"/>
      <c r="I27" s="300"/>
      <c r="J27" s="300"/>
      <c r="K27" s="300"/>
      <c r="L27" s="300"/>
      <c r="M27" s="300"/>
    </row>
    <row r="28" spans="1:19" s="65" customFormat="1" ht="18" customHeight="1" x14ac:dyDescent="0.25">
      <c r="B28" s="301" t="s">
        <v>340</v>
      </c>
      <c r="C28" s="301"/>
      <c r="D28" s="301"/>
      <c r="E28" s="301"/>
      <c r="F28" s="301"/>
      <c r="G28" s="301"/>
      <c r="H28" s="301"/>
      <c r="I28" s="301"/>
      <c r="J28" s="301"/>
      <c r="K28" s="301"/>
      <c r="L28" s="301"/>
      <c r="M28" s="301"/>
    </row>
    <row r="29" spans="1:19" s="66" customFormat="1" ht="54" customHeight="1" x14ac:dyDescent="0.25">
      <c r="B29" s="298" t="s">
        <v>341</v>
      </c>
      <c r="C29" s="298"/>
      <c r="D29" s="298"/>
      <c r="E29" s="298"/>
      <c r="F29" s="298"/>
      <c r="G29" s="298"/>
      <c r="H29" s="298"/>
      <c r="I29" s="298"/>
      <c r="J29" s="298"/>
      <c r="K29" s="298"/>
      <c r="L29" s="298"/>
      <c r="M29" s="298"/>
    </row>
    <row r="30" spans="1:19" s="65" customFormat="1" ht="23.25" customHeight="1" x14ac:dyDescent="0.25">
      <c r="B30" s="301" t="s">
        <v>342</v>
      </c>
      <c r="C30" s="301"/>
      <c r="D30" s="301"/>
      <c r="E30" s="301"/>
      <c r="F30" s="301"/>
      <c r="G30" s="301"/>
      <c r="H30" s="301"/>
      <c r="I30" s="301"/>
      <c r="J30" s="301"/>
      <c r="K30" s="301"/>
      <c r="L30" s="301"/>
      <c r="M30" s="301"/>
    </row>
    <row r="31" spans="1:19" s="66" customFormat="1" ht="35.25" customHeight="1" x14ac:dyDescent="0.25">
      <c r="B31" s="298" t="s">
        <v>343</v>
      </c>
      <c r="C31" s="298"/>
      <c r="D31" s="298"/>
      <c r="E31" s="298"/>
      <c r="F31" s="298"/>
      <c r="G31" s="298"/>
      <c r="H31" s="298"/>
      <c r="I31" s="298"/>
      <c r="J31" s="298"/>
      <c r="K31" s="298"/>
      <c r="L31" s="298"/>
      <c r="M31" s="298"/>
    </row>
    <row r="32" spans="1:19" x14ac:dyDescent="0.25">
      <c r="A32" s="51"/>
      <c r="B32" s="50" t="s">
        <v>286</v>
      </c>
      <c r="C32" s="50"/>
      <c r="D32" s="50"/>
      <c r="E32" s="50"/>
      <c r="F32" s="50"/>
      <c r="G32" s="50"/>
      <c r="H32" s="50"/>
      <c r="I32" s="50"/>
      <c r="J32" s="50"/>
      <c r="K32" s="50"/>
      <c r="L32" s="50"/>
      <c r="M32" s="50"/>
      <c r="N32" s="51"/>
      <c r="O32" s="51"/>
      <c r="P32" s="51"/>
      <c r="Q32" s="51"/>
      <c r="R32" s="51"/>
      <c r="S32" s="51"/>
    </row>
    <row r="33" s="51" customFormat="1" x14ac:dyDescent="0.25"/>
    <row r="34" s="51" customFormat="1" x14ac:dyDescent="0.25"/>
    <row r="35" s="51" customFormat="1" x14ac:dyDescent="0.25"/>
    <row r="36" s="51" customFormat="1" x14ac:dyDescent="0.25"/>
    <row r="37" s="51" customFormat="1" x14ac:dyDescent="0.25"/>
    <row r="38" s="51" customFormat="1" x14ac:dyDescent="0.25"/>
    <row r="39" s="51" customFormat="1" x14ac:dyDescent="0.25"/>
    <row r="40" s="51" customFormat="1" x14ac:dyDescent="0.25"/>
    <row r="41" s="51" customFormat="1" x14ac:dyDescent="0.25"/>
    <row r="42" s="51" customFormat="1" x14ac:dyDescent="0.25"/>
    <row r="43" s="51" customFormat="1" x14ac:dyDescent="0.25"/>
    <row r="44" s="51" customFormat="1" x14ac:dyDescent="0.25"/>
    <row r="45" s="51" customFormat="1" x14ac:dyDescent="0.25"/>
    <row r="46" s="51" customFormat="1" x14ac:dyDescent="0.25"/>
    <row r="47" s="51" customFormat="1" x14ac:dyDescent="0.25"/>
    <row r="48" s="51" customFormat="1" x14ac:dyDescent="0.25"/>
    <row r="49" s="51" customFormat="1" x14ac:dyDescent="0.25"/>
    <row r="50" s="51" customFormat="1" x14ac:dyDescent="0.25"/>
    <row r="51" s="51" customFormat="1" x14ac:dyDescent="0.25"/>
    <row r="52" s="51" customFormat="1" x14ac:dyDescent="0.25"/>
    <row r="53" s="51" customFormat="1" x14ac:dyDescent="0.25"/>
    <row r="54" s="51" customFormat="1" x14ac:dyDescent="0.25"/>
    <row r="55" s="51" customFormat="1" x14ac:dyDescent="0.25"/>
    <row r="56" s="51" customFormat="1" x14ac:dyDescent="0.25"/>
    <row r="57" s="51" customFormat="1" x14ac:dyDescent="0.25"/>
    <row r="58" s="51" customFormat="1" x14ac:dyDescent="0.25"/>
    <row r="59" s="51" customFormat="1" x14ac:dyDescent="0.25"/>
    <row r="60" s="51" customFormat="1" x14ac:dyDescent="0.25"/>
    <row r="61" s="51" customFormat="1" x14ac:dyDescent="0.25"/>
    <row r="62" s="51" customFormat="1" x14ac:dyDescent="0.25"/>
    <row r="63" s="51" customFormat="1" x14ac:dyDescent="0.25"/>
    <row r="64" s="51" customFormat="1" x14ac:dyDescent="0.25"/>
    <row r="65" s="51" customFormat="1" x14ac:dyDescent="0.25"/>
    <row r="66" s="51" customFormat="1" x14ac:dyDescent="0.25"/>
    <row r="67" s="51" customFormat="1" x14ac:dyDescent="0.25"/>
    <row r="68" s="51" customFormat="1" x14ac:dyDescent="0.25"/>
    <row r="69" s="51" customFormat="1" x14ac:dyDescent="0.25"/>
    <row r="70" s="51" customFormat="1" x14ac:dyDescent="0.25"/>
    <row r="71" s="51" customFormat="1" x14ac:dyDescent="0.25"/>
    <row r="72" s="51" customFormat="1" x14ac:dyDescent="0.25"/>
    <row r="73" s="51" customFormat="1" x14ac:dyDescent="0.25"/>
    <row r="74" s="51" customFormat="1" x14ac:dyDescent="0.25"/>
    <row r="75" s="51" customFormat="1" x14ac:dyDescent="0.25"/>
    <row r="76" s="51" customFormat="1" x14ac:dyDescent="0.25"/>
    <row r="77" s="51" customFormat="1" x14ac:dyDescent="0.25"/>
    <row r="78" s="51" customFormat="1" x14ac:dyDescent="0.25"/>
    <row r="79" s="51" customFormat="1" x14ac:dyDescent="0.25"/>
    <row r="80" s="51" customFormat="1" x14ac:dyDescent="0.25"/>
    <row r="81" s="51" customFormat="1" x14ac:dyDescent="0.25"/>
    <row r="82" s="51" customFormat="1" x14ac:dyDescent="0.25"/>
    <row r="83" s="51" customFormat="1" x14ac:dyDescent="0.25"/>
    <row r="84" s="51" customFormat="1" x14ac:dyDescent="0.25"/>
    <row r="85" s="51" customFormat="1" x14ac:dyDescent="0.25"/>
    <row r="86" s="51" customFormat="1" x14ac:dyDescent="0.25"/>
    <row r="87" s="51" customFormat="1" x14ac:dyDescent="0.25"/>
    <row r="88" s="51" customFormat="1" x14ac:dyDescent="0.25"/>
    <row r="89" s="51" customFormat="1" x14ac:dyDescent="0.25"/>
    <row r="90" s="51" customFormat="1" x14ac:dyDescent="0.25"/>
    <row r="91" s="51" customFormat="1" x14ac:dyDescent="0.25"/>
    <row r="92" s="51" customFormat="1" x14ac:dyDescent="0.25"/>
    <row r="93" s="51" customFormat="1" x14ac:dyDescent="0.25"/>
    <row r="94" s="51" customFormat="1" x14ac:dyDescent="0.25"/>
    <row r="95" s="51" customFormat="1" x14ac:dyDescent="0.25"/>
    <row r="96" s="51" customFormat="1" x14ac:dyDescent="0.25"/>
    <row r="97" s="51" customFormat="1" x14ac:dyDescent="0.25"/>
    <row r="98" s="51" customFormat="1" x14ac:dyDescent="0.25"/>
    <row r="99" s="51" customFormat="1" x14ac:dyDescent="0.25"/>
    <row r="100" s="51" customFormat="1" x14ac:dyDescent="0.25"/>
    <row r="101" s="51" customFormat="1" x14ac:dyDescent="0.25"/>
    <row r="102" s="51" customFormat="1" x14ac:dyDescent="0.25"/>
    <row r="103" s="51" customFormat="1" x14ac:dyDescent="0.25"/>
    <row r="104" s="51" customFormat="1" x14ac:dyDescent="0.25"/>
    <row r="105" s="51" customFormat="1" x14ac:dyDescent="0.25"/>
    <row r="106" s="51" customFormat="1" x14ac:dyDescent="0.25"/>
    <row r="107" s="51" customFormat="1" x14ac:dyDescent="0.25"/>
    <row r="108" s="51" customFormat="1" x14ac:dyDescent="0.25"/>
    <row r="109" s="51" customFormat="1" x14ac:dyDescent="0.25"/>
    <row r="110" s="51" customFormat="1" x14ac:dyDescent="0.25"/>
    <row r="111" s="51" customFormat="1" x14ac:dyDescent="0.25"/>
    <row r="112" s="51" customFormat="1" x14ac:dyDescent="0.25"/>
    <row r="113" s="51" customFormat="1" x14ac:dyDescent="0.25"/>
    <row r="114" s="51" customFormat="1" x14ac:dyDescent="0.25"/>
    <row r="115" s="51" customFormat="1" x14ac:dyDescent="0.25"/>
    <row r="116" s="51" customFormat="1" x14ac:dyDescent="0.25"/>
    <row r="117" s="51" customFormat="1" x14ac:dyDescent="0.25"/>
    <row r="118" s="51" customFormat="1" x14ac:dyDescent="0.25"/>
    <row r="119" s="51" customFormat="1" x14ac:dyDescent="0.25"/>
    <row r="120" s="51" customFormat="1" x14ac:dyDescent="0.25"/>
    <row r="121" s="51" customFormat="1" x14ac:dyDescent="0.25"/>
    <row r="122" s="51" customFormat="1" x14ac:dyDescent="0.25"/>
    <row r="123" s="51" customFormat="1" x14ac:dyDescent="0.25"/>
    <row r="124" s="51" customFormat="1" x14ac:dyDescent="0.25"/>
    <row r="125" s="51" customFormat="1" x14ac:dyDescent="0.25"/>
    <row r="126" s="51" customFormat="1" x14ac:dyDescent="0.25"/>
    <row r="127" s="51" customFormat="1" x14ac:dyDescent="0.25"/>
    <row r="128" s="51" customFormat="1" x14ac:dyDescent="0.25"/>
  </sheetData>
  <sheetProtection sheet="1" objects="1" scenarios="1"/>
  <mergeCells count="20">
    <mergeCell ref="B30:M30"/>
    <mergeCell ref="B31:M31"/>
    <mergeCell ref="B19:M19"/>
    <mergeCell ref="B20:M20"/>
    <mergeCell ref="B21:M21"/>
    <mergeCell ref="B27:M27"/>
    <mergeCell ref="B28:M28"/>
    <mergeCell ref="B29:M29"/>
    <mergeCell ref="B18:M18"/>
    <mergeCell ref="A1:F1"/>
    <mergeCell ref="G1:L1"/>
    <mergeCell ref="A2:F2"/>
    <mergeCell ref="B8:M8"/>
    <mergeCell ref="B9:M9"/>
    <mergeCell ref="B10:M10"/>
    <mergeCell ref="B11:M11"/>
    <mergeCell ref="B12:M12"/>
    <mergeCell ref="B13:M13"/>
    <mergeCell ref="B14:M14"/>
    <mergeCell ref="B15:M15"/>
  </mergeCells>
  <hyperlinks>
    <hyperlink ref="B14:M14" r:id="rId1" display="●  Organisations that generate renewable energy or purchase green energy should refer to Defra's  'Environmental reporting guidelines' for information on how to account for their electricity usage" xr:uid="{33DBB98F-F17F-4706-9B66-641A937E2E36}"/>
    <hyperlink ref="A3" location="Index!A1" display="Index" xr:uid="{99211E2E-E08E-4092-B0FC-99D57CBE91F9}"/>
  </hyperlinks>
  <pageMargins left="0.7" right="0.7" top="0.75" bottom="0.75" header="0.3" footer="0.3"/>
  <pageSetup paperSize="9" scale="60" fitToHeight="0" orientation="landscape" r:id="rId2"/>
  <headerFooter alignWithMargins="0"/>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534F9-D948-423F-B53A-2240A941156F}">
  <sheetPr codeName="Sheet14">
    <tabColor theme="5" tint="0.39997558519241921"/>
    <pageSetUpPr fitToPage="1"/>
  </sheetPr>
  <dimension ref="A1:BM217"/>
  <sheetViews>
    <sheetView zoomScaleNormal="100" workbookViewId="0">
      <pane xSplit="1" ySplit="2" topLeftCell="B3" activePane="bottomRight" state="frozen"/>
      <selection pane="topRight" activeCell="M22" sqref="M22"/>
      <selection pane="bottomLeft" activeCell="M22" sqref="M22"/>
      <selection pane="bottomRight" activeCell="M22" sqref="M22"/>
    </sheetView>
  </sheetViews>
  <sheetFormatPr defaultColWidth="8.77734375" defaultRowHeight="15" x14ac:dyDescent="0.25"/>
  <cols>
    <col min="1" max="1" width="4.33203125" style="67" customWidth="1"/>
    <col min="2" max="2" width="24.5546875" style="67" customWidth="1"/>
    <col min="3" max="3" width="18.88671875" style="67" customWidth="1"/>
    <col min="4" max="4" width="11.21875" style="67" customWidth="1"/>
    <col min="5" max="5" width="10.109375" style="67" customWidth="1"/>
    <col min="6" max="6" width="17.33203125" style="67" bestFit="1" customWidth="1"/>
    <col min="7" max="9" width="18.44140625" style="67" bestFit="1" customWidth="1"/>
    <col min="10" max="10" width="12.88671875" style="67" customWidth="1"/>
    <col min="11" max="12" width="4.33203125" style="67" customWidth="1"/>
    <col min="13" max="13" width="3.44140625" style="67" customWidth="1"/>
    <col min="14" max="26" width="8.77734375" style="67"/>
    <col min="27" max="65" width="8.77734375" style="51"/>
    <col min="66" max="256" width="8.77734375" style="67"/>
    <col min="257" max="257" width="4.33203125" style="67" customWidth="1"/>
    <col min="258" max="258" width="24.5546875" style="67" customWidth="1"/>
    <col min="259" max="259" width="18.88671875" style="67" customWidth="1"/>
    <col min="260" max="260" width="11.21875" style="67" customWidth="1"/>
    <col min="261" max="261" width="10.109375" style="67" customWidth="1"/>
    <col min="262" max="262" width="17.33203125" style="67" bestFit="1" customWidth="1"/>
    <col min="263" max="265" width="18.44140625" style="67" bestFit="1" customWidth="1"/>
    <col min="266" max="266" width="12.88671875" style="67" customWidth="1"/>
    <col min="267" max="268" width="4.33203125" style="67" customWidth="1"/>
    <col min="269" max="269" width="3.44140625" style="67" customWidth="1"/>
    <col min="270" max="512" width="8.77734375" style="67"/>
    <col min="513" max="513" width="4.33203125" style="67" customWidth="1"/>
    <col min="514" max="514" width="24.5546875" style="67" customWidth="1"/>
    <col min="515" max="515" width="18.88671875" style="67" customWidth="1"/>
    <col min="516" max="516" width="11.21875" style="67" customWidth="1"/>
    <col min="517" max="517" width="10.109375" style="67" customWidth="1"/>
    <col min="518" max="518" width="17.33203125" style="67" bestFit="1" customWidth="1"/>
    <col min="519" max="521" width="18.44140625" style="67" bestFit="1" customWidth="1"/>
    <col min="522" max="522" width="12.88671875" style="67" customWidth="1"/>
    <col min="523" max="524" width="4.33203125" style="67" customWidth="1"/>
    <col min="525" max="525" width="3.44140625" style="67" customWidth="1"/>
    <col min="526" max="768" width="8.77734375" style="67"/>
    <col min="769" max="769" width="4.33203125" style="67" customWidth="1"/>
    <col min="770" max="770" width="24.5546875" style="67" customWidth="1"/>
    <col min="771" max="771" width="18.88671875" style="67" customWidth="1"/>
    <col min="772" max="772" width="11.21875" style="67" customWidth="1"/>
    <col min="773" max="773" width="10.109375" style="67" customWidth="1"/>
    <col min="774" max="774" width="17.33203125" style="67" bestFit="1" customWidth="1"/>
    <col min="775" max="777" width="18.44140625" style="67" bestFit="1" customWidth="1"/>
    <col min="778" max="778" width="12.88671875" style="67" customWidth="1"/>
    <col min="779" max="780" width="4.33203125" style="67" customWidth="1"/>
    <col min="781" max="781" width="3.44140625" style="67" customWidth="1"/>
    <col min="782" max="1024" width="8.77734375" style="67"/>
    <col min="1025" max="1025" width="4.33203125" style="67" customWidth="1"/>
    <col min="1026" max="1026" width="24.5546875" style="67" customWidth="1"/>
    <col min="1027" max="1027" width="18.88671875" style="67" customWidth="1"/>
    <col min="1028" max="1028" width="11.21875" style="67" customWidth="1"/>
    <col min="1029" max="1029" width="10.109375" style="67" customWidth="1"/>
    <col min="1030" max="1030" width="17.33203125" style="67" bestFit="1" customWidth="1"/>
    <col min="1031" max="1033" width="18.44140625" style="67" bestFit="1" customWidth="1"/>
    <col min="1034" max="1034" width="12.88671875" style="67" customWidth="1"/>
    <col min="1035" max="1036" width="4.33203125" style="67" customWidth="1"/>
    <col min="1037" max="1037" width="3.44140625" style="67" customWidth="1"/>
    <col min="1038" max="1280" width="8.77734375" style="67"/>
    <col min="1281" max="1281" width="4.33203125" style="67" customWidth="1"/>
    <col min="1282" max="1282" width="24.5546875" style="67" customWidth="1"/>
    <col min="1283" max="1283" width="18.88671875" style="67" customWidth="1"/>
    <col min="1284" max="1284" width="11.21875" style="67" customWidth="1"/>
    <col min="1285" max="1285" width="10.109375" style="67" customWidth="1"/>
    <col min="1286" max="1286" width="17.33203125" style="67" bestFit="1" customWidth="1"/>
    <col min="1287" max="1289" width="18.44140625" style="67" bestFit="1" customWidth="1"/>
    <col min="1290" max="1290" width="12.88671875" style="67" customWidth="1"/>
    <col min="1291" max="1292" width="4.33203125" style="67" customWidth="1"/>
    <col min="1293" max="1293" width="3.44140625" style="67" customWidth="1"/>
    <col min="1294" max="1536" width="8.77734375" style="67"/>
    <col min="1537" max="1537" width="4.33203125" style="67" customWidth="1"/>
    <col min="1538" max="1538" width="24.5546875" style="67" customWidth="1"/>
    <col min="1539" max="1539" width="18.88671875" style="67" customWidth="1"/>
    <col min="1540" max="1540" width="11.21875" style="67" customWidth="1"/>
    <col min="1541" max="1541" width="10.109375" style="67" customWidth="1"/>
    <col min="1542" max="1542" width="17.33203125" style="67" bestFit="1" customWidth="1"/>
    <col min="1543" max="1545" width="18.44140625" style="67" bestFit="1" customWidth="1"/>
    <col min="1546" max="1546" width="12.88671875" style="67" customWidth="1"/>
    <col min="1547" max="1548" width="4.33203125" style="67" customWidth="1"/>
    <col min="1549" max="1549" width="3.44140625" style="67" customWidth="1"/>
    <col min="1550" max="1792" width="8.77734375" style="67"/>
    <col min="1793" max="1793" width="4.33203125" style="67" customWidth="1"/>
    <col min="1794" max="1794" width="24.5546875" style="67" customWidth="1"/>
    <col min="1795" max="1795" width="18.88671875" style="67" customWidth="1"/>
    <col min="1796" max="1796" width="11.21875" style="67" customWidth="1"/>
    <col min="1797" max="1797" width="10.109375" style="67" customWidth="1"/>
    <col min="1798" max="1798" width="17.33203125" style="67" bestFit="1" customWidth="1"/>
    <col min="1799" max="1801" width="18.44140625" style="67" bestFit="1" customWidth="1"/>
    <col min="1802" max="1802" width="12.88671875" style="67" customWidth="1"/>
    <col min="1803" max="1804" width="4.33203125" style="67" customWidth="1"/>
    <col min="1805" max="1805" width="3.44140625" style="67" customWidth="1"/>
    <col min="1806" max="2048" width="8.77734375" style="67"/>
    <col min="2049" max="2049" width="4.33203125" style="67" customWidth="1"/>
    <col min="2050" max="2050" width="24.5546875" style="67" customWidth="1"/>
    <col min="2051" max="2051" width="18.88671875" style="67" customWidth="1"/>
    <col min="2052" max="2052" width="11.21875" style="67" customWidth="1"/>
    <col min="2053" max="2053" width="10.109375" style="67" customWidth="1"/>
    <col min="2054" max="2054" width="17.33203125" style="67" bestFit="1" customWidth="1"/>
    <col min="2055" max="2057" width="18.44140625" style="67" bestFit="1" customWidth="1"/>
    <col min="2058" max="2058" width="12.88671875" style="67" customWidth="1"/>
    <col min="2059" max="2060" width="4.33203125" style="67" customWidth="1"/>
    <col min="2061" max="2061" width="3.44140625" style="67" customWidth="1"/>
    <col min="2062" max="2304" width="8.77734375" style="67"/>
    <col min="2305" max="2305" width="4.33203125" style="67" customWidth="1"/>
    <col min="2306" max="2306" width="24.5546875" style="67" customWidth="1"/>
    <col min="2307" max="2307" width="18.88671875" style="67" customWidth="1"/>
    <col min="2308" max="2308" width="11.21875" style="67" customWidth="1"/>
    <col min="2309" max="2309" width="10.109375" style="67" customWidth="1"/>
    <col min="2310" max="2310" width="17.33203125" style="67" bestFit="1" customWidth="1"/>
    <col min="2311" max="2313" width="18.44140625" style="67" bestFit="1" customWidth="1"/>
    <col min="2314" max="2314" width="12.88671875" style="67" customWidth="1"/>
    <col min="2315" max="2316" width="4.33203125" style="67" customWidth="1"/>
    <col min="2317" max="2317" width="3.44140625" style="67" customWidth="1"/>
    <col min="2318" max="2560" width="8.77734375" style="67"/>
    <col min="2561" max="2561" width="4.33203125" style="67" customWidth="1"/>
    <col min="2562" max="2562" width="24.5546875" style="67" customWidth="1"/>
    <col min="2563" max="2563" width="18.88671875" style="67" customWidth="1"/>
    <col min="2564" max="2564" width="11.21875" style="67" customWidth="1"/>
    <col min="2565" max="2565" width="10.109375" style="67" customWidth="1"/>
    <col min="2566" max="2566" width="17.33203125" style="67" bestFit="1" customWidth="1"/>
    <col min="2567" max="2569" width="18.44140625" style="67" bestFit="1" customWidth="1"/>
    <col min="2570" max="2570" width="12.88671875" style="67" customWidth="1"/>
    <col min="2571" max="2572" width="4.33203125" style="67" customWidth="1"/>
    <col min="2573" max="2573" width="3.44140625" style="67" customWidth="1"/>
    <col min="2574" max="2816" width="8.77734375" style="67"/>
    <col min="2817" max="2817" width="4.33203125" style="67" customWidth="1"/>
    <col min="2818" max="2818" width="24.5546875" style="67" customWidth="1"/>
    <col min="2819" max="2819" width="18.88671875" style="67" customWidth="1"/>
    <col min="2820" max="2820" width="11.21875" style="67" customWidth="1"/>
    <col min="2821" max="2821" width="10.109375" style="67" customWidth="1"/>
    <col min="2822" max="2822" width="17.33203125" style="67" bestFit="1" customWidth="1"/>
    <col min="2823" max="2825" width="18.44140625" style="67" bestFit="1" customWidth="1"/>
    <col min="2826" max="2826" width="12.88671875" style="67" customWidth="1"/>
    <col min="2827" max="2828" width="4.33203125" style="67" customWidth="1"/>
    <col min="2829" max="2829" width="3.44140625" style="67" customWidth="1"/>
    <col min="2830" max="3072" width="8.77734375" style="67"/>
    <col min="3073" max="3073" width="4.33203125" style="67" customWidth="1"/>
    <col min="3074" max="3074" width="24.5546875" style="67" customWidth="1"/>
    <col min="3075" max="3075" width="18.88671875" style="67" customWidth="1"/>
    <col min="3076" max="3076" width="11.21875" style="67" customWidth="1"/>
    <col min="3077" max="3077" width="10.109375" style="67" customWidth="1"/>
    <col min="3078" max="3078" width="17.33203125" style="67" bestFit="1" customWidth="1"/>
    <col min="3079" max="3081" width="18.44140625" style="67" bestFit="1" customWidth="1"/>
    <col min="3082" max="3082" width="12.88671875" style="67" customWidth="1"/>
    <col min="3083" max="3084" width="4.33203125" style="67" customWidth="1"/>
    <col min="3085" max="3085" width="3.44140625" style="67" customWidth="1"/>
    <col min="3086" max="3328" width="8.77734375" style="67"/>
    <col min="3329" max="3329" width="4.33203125" style="67" customWidth="1"/>
    <col min="3330" max="3330" width="24.5546875" style="67" customWidth="1"/>
    <col min="3331" max="3331" width="18.88671875" style="67" customWidth="1"/>
    <col min="3332" max="3332" width="11.21875" style="67" customWidth="1"/>
    <col min="3333" max="3333" width="10.109375" style="67" customWidth="1"/>
    <col min="3334" max="3334" width="17.33203125" style="67" bestFit="1" customWidth="1"/>
    <col min="3335" max="3337" width="18.44140625" style="67" bestFit="1" customWidth="1"/>
    <col min="3338" max="3338" width="12.88671875" style="67" customWidth="1"/>
    <col min="3339" max="3340" width="4.33203125" style="67" customWidth="1"/>
    <col min="3341" max="3341" width="3.44140625" style="67" customWidth="1"/>
    <col min="3342" max="3584" width="8.77734375" style="67"/>
    <col min="3585" max="3585" width="4.33203125" style="67" customWidth="1"/>
    <col min="3586" max="3586" width="24.5546875" style="67" customWidth="1"/>
    <col min="3587" max="3587" width="18.88671875" style="67" customWidth="1"/>
    <col min="3588" max="3588" width="11.21875" style="67" customWidth="1"/>
    <col min="3589" max="3589" width="10.109375" style="67" customWidth="1"/>
    <col min="3590" max="3590" width="17.33203125" style="67" bestFit="1" customWidth="1"/>
    <col min="3591" max="3593" width="18.44140625" style="67" bestFit="1" customWidth="1"/>
    <col min="3594" max="3594" width="12.88671875" style="67" customWidth="1"/>
    <col min="3595" max="3596" width="4.33203125" style="67" customWidth="1"/>
    <col min="3597" max="3597" width="3.44140625" style="67" customWidth="1"/>
    <col min="3598" max="3840" width="8.77734375" style="67"/>
    <col min="3841" max="3841" width="4.33203125" style="67" customWidth="1"/>
    <col min="3842" max="3842" width="24.5546875" style="67" customWidth="1"/>
    <col min="3843" max="3843" width="18.88671875" style="67" customWidth="1"/>
    <col min="3844" max="3844" width="11.21875" style="67" customWidth="1"/>
    <col min="3845" max="3845" width="10.109375" style="67" customWidth="1"/>
    <col min="3846" max="3846" width="17.33203125" style="67" bestFit="1" customWidth="1"/>
    <col min="3847" max="3849" width="18.44140625" style="67" bestFit="1" customWidth="1"/>
    <col min="3850" max="3850" width="12.88671875" style="67" customWidth="1"/>
    <col min="3851" max="3852" width="4.33203125" style="67" customWidth="1"/>
    <col min="3853" max="3853" width="3.44140625" style="67" customWidth="1"/>
    <col min="3854" max="4096" width="8.77734375" style="67"/>
    <col min="4097" max="4097" width="4.33203125" style="67" customWidth="1"/>
    <col min="4098" max="4098" width="24.5546875" style="67" customWidth="1"/>
    <col min="4099" max="4099" width="18.88671875" style="67" customWidth="1"/>
    <col min="4100" max="4100" width="11.21875" style="67" customWidth="1"/>
    <col min="4101" max="4101" width="10.109375" style="67" customWidth="1"/>
    <col min="4102" max="4102" width="17.33203125" style="67" bestFit="1" customWidth="1"/>
    <col min="4103" max="4105" width="18.44140625" style="67" bestFit="1" customWidth="1"/>
    <col min="4106" max="4106" width="12.88671875" style="67" customWidth="1"/>
    <col min="4107" max="4108" width="4.33203125" style="67" customWidth="1"/>
    <col min="4109" max="4109" width="3.44140625" style="67" customWidth="1"/>
    <col min="4110" max="4352" width="8.77734375" style="67"/>
    <col min="4353" max="4353" width="4.33203125" style="67" customWidth="1"/>
    <col min="4354" max="4354" width="24.5546875" style="67" customWidth="1"/>
    <col min="4355" max="4355" width="18.88671875" style="67" customWidth="1"/>
    <col min="4356" max="4356" width="11.21875" style="67" customWidth="1"/>
    <col min="4357" max="4357" width="10.109375" style="67" customWidth="1"/>
    <col min="4358" max="4358" width="17.33203125" style="67" bestFit="1" customWidth="1"/>
    <col min="4359" max="4361" width="18.44140625" style="67" bestFit="1" customWidth="1"/>
    <col min="4362" max="4362" width="12.88671875" style="67" customWidth="1"/>
    <col min="4363" max="4364" width="4.33203125" style="67" customWidth="1"/>
    <col min="4365" max="4365" width="3.44140625" style="67" customWidth="1"/>
    <col min="4366" max="4608" width="8.77734375" style="67"/>
    <col min="4609" max="4609" width="4.33203125" style="67" customWidth="1"/>
    <col min="4610" max="4610" width="24.5546875" style="67" customWidth="1"/>
    <col min="4611" max="4611" width="18.88671875" style="67" customWidth="1"/>
    <col min="4612" max="4612" width="11.21875" style="67" customWidth="1"/>
    <col min="4613" max="4613" width="10.109375" style="67" customWidth="1"/>
    <col min="4614" max="4614" width="17.33203125" style="67" bestFit="1" customWidth="1"/>
    <col min="4615" max="4617" width="18.44140625" style="67" bestFit="1" customWidth="1"/>
    <col min="4618" max="4618" width="12.88671875" style="67" customWidth="1"/>
    <col min="4619" max="4620" width="4.33203125" style="67" customWidth="1"/>
    <col min="4621" max="4621" width="3.44140625" style="67" customWidth="1"/>
    <col min="4622" max="4864" width="8.77734375" style="67"/>
    <col min="4865" max="4865" width="4.33203125" style="67" customWidth="1"/>
    <col min="4866" max="4866" width="24.5546875" style="67" customWidth="1"/>
    <col min="4867" max="4867" width="18.88671875" style="67" customWidth="1"/>
    <col min="4868" max="4868" width="11.21875" style="67" customWidth="1"/>
    <col min="4869" max="4869" width="10.109375" style="67" customWidth="1"/>
    <col min="4870" max="4870" width="17.33203125" style="67" bestFit="1" customWidth="1"/>
    <col min="4871" max="4873" width="18.44140625" style="67" bestFit="1" customWidth="1"/>
    <col min="4874" max="4874" width="12.88671875" style="67" customWidth="1"/>
    <col min="4875" max="4876" width="4.33203125" style="67" customWidth="1"/>
    <col min="4877" max="4877" width="3.44140625" style="67" customWidth="1"/>
    <col min="4878" max="5120" width="8.77734375" style="67"/>
    <col min="5121" max="5121" width="4.33203125" style="67" customWidth="1"/>
    <col min="5122" max="5122" width="24.5546875" style="67" customWidth="1"/>
    <col min="5123" max="5123" width="18.88671875" style="67" customWidth="1"/>
    <col min="5124" max="5124" width="11.21875" style="67" customWidth="1"/>
    <col min="5125" max="5125" width="10.109375" style="67" customWidth="1"/>
    <col min="5126" max="5126" width="17.33203125" style="67" bestFit="1" customWidth="1"/>
    <col min="5127" max="5129" width="18.44140625" style="67" bestFit="1" customWidth="1"/>
    <col min="5130" max="5130" width="12.88671875" style="67" customWidth="1"/>
    <col min="5131" max="5132" width="4.33203125" style="67" customWidth="1"/>
    <col min="5133" max="5133" width="3.44140625" style="67" customWidth="1"/>
    <col min="5134" max="5376" width="8.77734375" style="67"/>
    <col min="5377" max="5377" width="4.33203125" style="67" customWidth="1"/>
    <col min="5378" max="5378" width="24.5546875" style="67" customWidth="1"/>
    <col min="5379" max="5379" width="18.88671875" style="67" customWidth="1"/>
    <col min="5380" max="5380" width="11.21875" style="67" customWidth="1"/>
    <col min="5381" max="5381" width="10.109375" style="67" customWidth="1"/>
    <col min="5382" max="5382" width="17.33203125" style="67" bestFit="1" customWidth="1"/>
    <col min="5383" max="5385" width="18.44140625" style="67" bestFit="1" customWidth="1"/>
    <col min="5386" max="5386" width="12.88671875" style="67" customWidth="1"/>
    <col min="5387" max="5388" width="4.33203125" style="67" customWidth="1"/>
    <col min="5389" max="5389" width="3.44140625" style="67" customWidth="1"/>
    <col min="5390" max="5632" width="8.77734375" style="67"/>
    <col min="5633" max="5633" width="4.33203125" style="67" customWidth="1"/>
    <col min="5634" max="5634" width="24.5546875" style="67" customWidth="1"/>
    <col min="5635" max="5635" width="18.88671875" style="67" customWidth="1"/>
    <col min="5636" max="5636" width="11.21875" style="67" customWidth="1"/>
    <col min="5637" max="5637" width="10.109375" style="67" customWidth="1"/>
    <col min="5638" max="5638" width="17.33203125" style="67" bestFit="1" customWidth="1"/>
    <col min="5639" max="5641" width="18.44140625" style="67" bestFit="1" customWidth="1"/>
    <col min="5642" max="5642" width="12.88671875" style="67" customWidth="1"/>
    <col min="5643" max="5644" width="4.33203125" style="67" customWidth="1"/>
    <col min="5645" max="5645" width="3.44140625" style="67" customWidth="1"/>
    <col min="5646" max="5888" width="8.77734375" style="67"/>
    <col min="5889" max="5889" width="4.33203125" style="67" customWidth="1"/>
    <col min="5890" max="5890" width="24.5546875" style="67" customWidth="1"/>
    <col min="5891" max="5891" width="18.88671875" style="67" customWidth="1"/>
    <col min="5892" max="5892" width="11.21875" style="67" customWidth="1"/>
    <col min="5893" max="5893" width="10.109375" style="67" customWidth="1"/>
    <col min="5894" max="5894" width="17.33203125" style="67" bestFit="1" customWidth="1"/>
    <col min="5895" max="5897" width="18.44140625" style="67" bestFit="1" customWidth="1"/>
    <col min="5898" max="5898" width="12.88671875" style="67" customWidth="1"/>
    <col min="5899" max="5900" width="4.33203125" style="67" customWidth="1"/>
    <col min="5901" max="5901" width="3.44140625" style="67" customWidth="1"/>
    <col min="5902" max="6144" width="8.77734375" style="67"/>
    <col min="6145" max="6145" width="4.33203125" style="67" customWidth="1"/>
    <col min="6146" max="6146" width="24.5546875" style="67" customWidth="1"/>
    <col min="6147" max="6147" width="18.88671875" style="67" customWidth="1"/>
    <col min="6148" max="6148" width="11.21875" style="67" customWidth="1"/>
    <col min="6149" max="6149" width="10.109375" style="67" customWidth="1"/>
    <col min="6150" max="6150" width="17.33203125" style="67" bestFit="1" customWidth="1"/>
    <col min="6151" max="6153" width="18.44140625" style="67" bestFit="1" customWidth="1"/>
    <col min="6154" max="6154" width="12.88671875" style="67" customWidth="1"/>
    <col min="6155" max="6156" width="4.33203125" style="67" customWidth="1"/>
    <col min="6157" max="6157" width="3.44140625" style="67" customWidth="1"/>
    <col min="6158" max="6400" width="8.77734375" style="67"/>
    <col min="6401" max="6401" width="4.33203125" style="67" customWidth="1"/>
    <col min="6402" max="6402" width="24.5546875" style="67" customWidth="1"/>
    <col min="6403" max="6403" width="18.88671875" style="67" customWidth="1"/>
    <col min="6404" max="6404" width="11.21875" style="67" customWidth="1"/>
    <col min="6405" max="6405" width="10.109375" style="67" customWidth="1"/>
    <col min="6406" max="6406" width="17.33203125" style="67" bestFit="1" customWidth="1"/>
    <col min="6407" max="6409" width="18.44140625" style="67" bestFit="1" customWidth="1"/>
    <col min="6410" max="6410" width="12.88671875" style="67" customWidth="1"/>
    <col min="6411" max="6412" width="4.33203125" style="67" customWidth="1"/>
    <col min="6413" max="6413" width="3.44140625" style="67" customWidth="1"/>
    <col min="6414" max="6656" width="8.77734375" style="67"/>
    <col min="6657" max="6657" width="4.33203125" style="67" customWidth="1"/>
    <col min="6658" max="6658" width="24.5546875" style="67" customWidth="1"/>
    <col min="6659" max="6659" width="18.88671875" style="67" customWidth="1"/>
    <col min="6660" max="6660" width="11.21875" style="67" customWidth="1"/>
    <col min="6661" max="6661" width="10.109375" style="67" customWidth="1"/>
    <col min="6662" max="6662" width="17.33203125" style="67" bestFit="1" customWidth="1"/>
    <col min="6663" max="6665" width="18.44140625" style="67" bestFit="1" customWidth="1"/>
    <col min="6666" max="6666" width="12.88671875" style="67" customWidth="1"/>
    <col min="6667" max="6668" width="4.33203125" style="67" customWidth="1"/>
    <col min="6669" max="6669" width="3.44140625" style="67" customWidth="1"/>
    <col min="6670" max="6912" width="8.77734375" style="67"/>
    <col min="6913" max="6913" width="4.33203125" style="67" customWidth="1"/>
    <col min="6914" max="6914" width="24.5546875" style="67" customWidth="1"/>
    <col min="6915" max="6915" width="18.88671875" style="67" customWidth="1"/>
    <col min="6916" max="6916" width="11.21875" style="67" customWidth="1"/>
    <col min="6917" max="6917" width="10.109375" style="67" customWidth="1"/>
    <col min="6918" max="6918" width="17.33203125" style="67" bestFit="1" customWidth="1"/>
    <col min="6919" max="6921" width="18.44140625" style="67" bestFit="1" customWidth="1"/>
    <col min="6922" max="6922" width="12.88671875" style="67" customWidth="1"/>
    <col min="6923" max="6924" width="4.33203125" style="67" customWidth="1"/>
    <col min="6925" max="6925" width="3.44140625" style="67" customWidth="1"/>
    <col min="6926" max="7168" width="8.77734375" style="67"/>
    <col min="7169" max="7169" width="4.33203125" style="67" customWidth="1"/>
    <col min="7170" max="7170" width="24.5546875" style="67" customWidth="1"/>
    <col min="7171" max="7171" width="18.88671875" style="67" customWidth="1"/>
    <col min="7172" max="7172" width="11.21875" style="67" customWidth="1"/>
    <col min="7173" max="7173" width="10.109375" style="67" customWidth="1"/>
    <col min="7174" max="7174" width="17.33203125" style="67" bestFit="1" customWidth="1"/>
    <col min="7175" max="7177" width="18.44140625" style="67" bestFit="1" customWidth="1"/>
    <col min="7178" max="7178" width="12.88671875" style="67" customWidth="1"/>
    <col min="7179" max="7180" width="4.33203125" style="67" customWidth="1"/>
    <col min="7181" max="7181" width="3.44140625" style="67" customWidth="1"/>
    <col min="7182" max="7424" width="8.77734375" style="67"/>
    <col min="7425" max="7425" width="4.33203125" style="67" customWidth="1"/>
    <col min="7426" max="7426" width="24.5546875" style="67" customWidth="1"/>
    <col min="7427" max="7427" width="18.88671875" style="67" customWidth="1"/>
    <col min="7428" max="7428" width="11.21875" style="67" customWidth="1"/>
    <col min="7429" max="7429" width="10.109375" style="67" customWidth="1"/>
    <col min="7430" max="7430" width="17.33203125" style="67" bestFit="1" customWidth="1"/>
    <col min="7431" max="7433" width="18.44140625" style="67" bestFit="1" customWidth="1"/>
    <col min="7434" max="7434" width="12.88671875" style="67" customWidth="1"/>
    <col min="7435" max="7436" width="4.33203125" style="67" customWidth="1"/>
    <col min="7437" max="7437" width="3.44140625" style="67" customWidth="1"/>
    <col min="7438" max="7680" width="8.77734375" style="67"/>
    <col min="7681" max="7681" width="4.33203125" style="67" customWidth="1"/>
    <col min="7682" max="7682" width="24.5546875" style="67" customWidth="1"/>
    <col min="7683" max="7683" width="18.88671875" style="67" customWidth="1"/>
    <col min="7684" max="7684" width="11.21875" style="67" customWidth="1"/>
    <col min="7685" max="7685" width="10.109375" style="67" customWidth="1"/>
    <col min="7686" max="7686" width="17.33203125" style="67" bestFit="1" customWidth="1"/>
    <col min="7687" max="7689" width="18.44140625" style="67" bestFit="1" customWidth="1"/>
    <col min="7690" max="7690" width="12.88671875" style="67" customWidth="1"/>
    <col min="7691" max="7692" width="4.33203125" style="67" customWidth="1"/>
    <col min="7693" max="7693" width="3.44140625" style="67" customWidth="1"/>
    <col min="7694" max="7936" width="8.77734375" style="67"/>
    <col min="7937" max="7937" width="4.33203125" style="67" customWidth="1"/>
    <col min="7938" max="7938" width="24.5546875" style="67" customWidth="1"/>
    <col min="7939" max="7939" width="18.88671875" style="67" customWidth="1"/>
    <col min="7940" max="7940" width="11.21875" style="67" customWidth="1"/>
    <col min="7941" max="7941" width="10.109375" style="67" customWidth="1"/>
    <col min="7942" max="7942" width="17.33203125" style="67" bestFit="1" customWidth="1"/>
    <col min="7943" max="7945" width="18.44140625" style="67" bestFit="1" customWidth="1"/>
    <col min="7946" max="7946" width="12.88671875" style="67" customWidth="1"/>
    <col min="7947" max="7948" width="4.33203125" style="67" customWidth="1"/>
    <col min="7949" max="7949" width="3.44140625" style="67" customWidth="1"/>
    <col min="7950" max="8192" width="8.77734375" style="67"/>
    <col min="8193" max="8193" width="4.33203125" style="67" customWidth="1"/>
    <col min="8194" max="8194" width="24.5546875" style="67" customWidth="1"/>
    <col min="8195" max="8195" width="18.88671875" style="67" customWidth="1"/>
    <col min="8196" max="8196" width="11.21875" style="67" customWidth="1"/>
    <col min="8197" max="8197" width="10.109375" style="67" customWidth="1"/>
    <col min="8198" max="8198" width="17.33203125" style="67" bestFit="1" customWidth="1"/>
    <col min="8199" max="8201" width="18.44140625" style="67" bestFit="1" customWidth="1"/>
    <col min="8202" max="8202" width="12.88671875" style="67" customWidth="1"/>
    <col min="8203" max="8204" width="4.33203125" style="67" customWidth="1"/>
    <col min="8205" max="8205" width="3.44140625" style="67" customWidth="1"/>
    <col min="8206" max="8448" width="8.77734375" style="67"/>
    <col min="8449" max="8449" width="4.33203125" style="67" customWidth="1"/>
    <col min="8450" max="8450" width="24.5546875" style="67" customWidth="1"/>
    <col min="8451" max="8451" width="18.88671875" style="67" customWidth="1"/>
    <col min="8452" max="8452" width="11.21875" style="67" customWidth="1"/>
    <col min="8453" max="8453" width="10.109375" style="67" customWidth="1"/>
    <col min="8454" max="8454" width="17.33203125" style="67" bestFit="1" customWidth="1"/>
    <col min="8455" max="8457" width="18.44140625" style="67" bestFit="1" customWidth="1"/>
    <col min="8458" max="8458" width="12.88671875" style="67" customWidth="1"/>
    <col min="8459" max="8460" width="4.33203125" style="67" customWidth="1"/>
    <col min="8461" max="8461" width="3.44140625" style="67" customWidth="1"/>
    <col min="8462" max="8704" width="8.77734375" style="67"/>
    <col min="8705" max="8705" width="4.33203125" style="67" customWidth="1"/>
    <col min="8706" max="8706" width="24.5546875" style="67" customWidth="1"/>
    <col min="8707" max="8707" width="18.88671875" style="67" customWidth="1"/>
    <col min="8708" max="8708" width="11.21875" style="67" customWidth="1"/>
    <col min="8709" max="8709" width="10.109375" style="67" customWidth="1"/>
    <col min="8710" max="8710" width="17.33203125" style="67" bestFit="1" customWidth="1"/>
    <col min="8711" max="8713" width="18.44140625" style="67" bestFit="1" customWidth="1"/>
    <col min="8714" max="8714" width="12.88671875" style="67" customWidth="1"/>
    <col min="8715" max="8716" width="4.33203125" style="67" customWidth="1"/>
    <col min="8717" max="8717" width="3.44140625" style="67" customWidth="1"/>
    <col min="8718" max="8960" width="8.77734375" style="67"/>
    <col min="8961" max="8961" width="4.33203125" style="67" customWidth="1"/>
    <col min="8962" max="8962" width="24.5546875" style="67" customWidth="1"/>
    <col min="8963" max="8963" width="18.88671875" style="67" customWidth="1"/>
    <col min="8964" max="8964" width="11.21875" style="67" customWidth="1"/>
    <col min="8965" max="8965" width="10.109375" style="67" customWidth="1"/>
    <col min="8966" max="8966" width="17.33203125" style="67" bestFit="1" customWidth="1"/>
    <col min="8967" max="8969" width="18.44140625" style="67" bestFit="1" customWidth="1"/>
    <col min="8970" max="8970" width="12.88671875" style="67" customWidth="1"/>
    <col min="8971" max="8972" width="4.33203125" style="67" customWidth="1"/>
    <col min="8973" max="8973" width="3.44140625" style="67" customWidth="1"/>
    <col min="8974" max="9216" width="8.77734375" style="67"/>
    <col min="9217" max="9217" width="4.33203125" style="67" customWidth="1"/>
    <col min="9218" max="9218" width="24.5546875" style="67" customWidth="1"/>
    <col min="9219" max="9219" width="18.88671875" style="67" customWidth="1"/>
    <col min="9220" max="9220" width="11.21875" style="67" customWidth="1"/>
    <col min="9221" max="9221" width="10.109375" style="67" customWidth="1"/>
    <col min="9222" max="9222" width="17.33203125" style="67" bestFit="1" customWidth="1"/>
    <col min="9223" max="9225" width="18.44140625" style="67" bestFit="1" customWidth="1"/>
    <col min="9226" max="9226" width="12.88671875" style="67" customWidth="1"/>
    <col min="9227" max="9228" width="4.33203125" style="67" customWidth="1"/>
    <col min="9229" max="9229" width="3.44140625" style="67" customWidth="1"/>
    <col min="9230" max="9472" width="8.77734375" style="67"/>
    <col min="9473" max="9473" width="4.33203125" style="67" customWidth="1"/>
    <col min="9474" max="9474" width="24.5546875" style="67" customWidth="1"/>
    <col min="9475" max="9475" width="18.88671875" style="67" customWidth="1"/>
    <col min="9476" max="9476" width="11.21875" style="67" customWidth="1"/>
    <col min="9477" max="9477" width="10.109375" style="67" customWidth="1"/>
    <col min="9478" max="9478" width="17.33203125" style="67" bestFit="1" customWidth="1"/>
    <col min="9479" max="9481" width="18.44140625" style="67" bestFit="1" customWidth="1"/>
    <col min="9482" max="9482" width="12.88671875" style="67" customWidth="1"/>
    <col min="9483" max="9484" width="4.33203125" style="67" customWidth="1"/>
    <col min="9485" max="9485" width="3.44140625" style="67" customWidth="1"/>
    <col min="9486" max="9728" width="8.77734375" style="67"/>
    <col min="9729" max="9729" width="4.33203125" style="67" customWidth="1"/>
    <col min="9730" max="9730" width="24.5546875" style="67" customWidth="1"/>
    <col min="9731" max="9731" width="18.88671875" style="67" customWidth="1"/>
    <col min="9732" max="9732" width="11.21875" style="67" customWidth="1"/>
    <col min="9733" max="9733" width="10.109375" style="67" customWidth="1"/>
    <col min="9734" max="9734" width="17.33203125" style="67" bestFit="1" customWidth="1"/>
    <col min="9735" max="9737" width="18.44140625" style="67" bestFit="1" customWidth="1"/>
    <col min="9738" max="9738" width="12.88671875" style="67" customWidth="1"/>
    <col min="9739" max="9740" width="4.33203125" style="67" customWidth="1"/>
    <col min="9741" max="9741" width="3.44140625" style="67" customWidth="1"/>
    <col min="9742" max="9984" width="8.77734375" style="67"/>
    <col min="9985" max="9985" width="4.33203125" style="67" customWidth="1"/>
    <col min="9986" max="9986" width="24.5546875" style="67" customWidth="1"/>
    <col min="9987" max="9987" width="18.88671875" style="67" customWidth="1"/>
    <col min="9988" max="9988" width="11.21875" style="67" customWidth="1"/>
    <col min="9989" max="9989" width="10.109375" style="67" customWidth="1"/>
    <col min="9990" max="9990" width="17.33203125" style="67" bestFit="1" customWidth="1"/>
    <col min="9991" max="9993" width="18.44140625" style="67" bestFit="1" customWidth="1"/>
    <col min="9994" max="9994" width="12.88671875" style="67" customWidth="1"/>
    <col min="9995" max="9996" width="4.33203125" style="67" customWidth="1"/>
    <col min="9997" max="9997" width="3.44140625" style="67" customWidth="1"/>
    <col min="9998" max="10240" width="8.77734375" style="67"/>
    <col min="10241" max="10241" width="4.33203125" style="67" customWidth="1"/>
    <col min="10242" max="10242" width="24.5546875" style="67" customWidth="1"/>
    <col min="10243" max="10243" width="18.88671875" style="67" customWidth="1"/>
    <col min="10244" max="10244" width="11.21875" style="67" customWidth="1"/>
    <col min="10245" max="10245" width="10.109375" style="67" customWidth="1"/>
    <col min="10246" max="10246" width="17.33203125" style="67" bestFit="1" customWidth="1"/>
    <col min="10247" max="10249" width="18.44140625" style="67" bestFit="1" customWidth="1"/>
    <col min="10250" max="10250" width="12.88671875" style="67" customWidth="1"/>
    <col min="10251" max="10252" width="4.33203125" style="67" customWidth="1"/>
    <col min="10253" max="10253" width="3.44140625" style="67" customWidth="1"/>
    <col min="10254" max="10496" width="8.77734375" style="67"/>
    <col min="10497" max="10497" width="4.33203125" style="67" customWidth="1"/>
    <col min="10498" max="10498" width="24.5546875" style="67" customWidth="1"/>
    <col min="10499" max="10499" width="18.88671875" style="67" customWidth="1"/>
    <col min="10500" max="10500" width="11.21875" style="67" customWidth="1"/>
    <col min="10501" max="10501" width="10.109375" style="67" customWidth="1"/>
    <col min="10502" max="10502" width="17.33203125" style="67" bestFit="1" customWidth="1"/>
    <col min="10503" max="10505" width="18.44140625" style="67" bestFit="1" customWidth="1"/>
    <col min="10506" max="10506" width="12.88671875" style="67" customWidth="1"/>
    <col min="10507" max="10508" width="4.33203125" style="67" customWidth="1"/>
    <col min="10509" max="10509" width="3.44140625" style="67" customWidth="1"/>
    <col min="10510" max="10752" width="8.77734375" style="67"/>
    <col min="10753" max="10753" width="4.33203125" style="67" customWidth="1"/>
    <col min="10754" max="10754" width="24.5546875" style="67" customWidth="1"/>
    <col min="10755" max="10755" width="18.88671875" style="67" customWidth="1"/>
    <col min="10756" max="10756" width="11.21875" style="67" customWidth="1"/>
    <col min="10757" max="10757" width="10.109375" style="67" customWidth="1"/>
    <col min="10758" max="10758" width="17.33203125" style="67" bestFit="1" customWidth="1"/>
    <col min="10759" max="10761" width="18.44140625" style="67" bestFit="1" customWidth="1"/>
    <col min="10762" max="10762" width="12.88671875" style="67" customWidth="1"/>
    <col min="10763" max="10764" width="4.33203125" style="67" customWidth="1"/>
    <col min="10765" max="10765" width="3.44140625" style="67" customWidth="1"/>
    <col min="10766" max="11008" width="8.77734375" style="67"/>
    <col min="11009" max="11009" width="4.33203125" style="67" customWidth="1"/>
    <col min="11010" max="11010" width="24.5546875" style="67" customWidth="1"/>
    <col min="11011" max="11011" width="18.88671875" style="67" customWidth="1"/>
    <col min="11012" max="11012" width="11.21875" style="67" customWidth="1"/>
    <col min="11013" max="11013" width="10.109375" style="67" customWidth="1"/>
    <col min="11014" max="11014" width="17.33203125" style="67" bestFit="1" customWidth="1"/>
    <col min="11015" max="11017" width="18.44140625" style="67" bestFit="1" customWidth="1"/>
    <col min="11018" max="11018" width="12.88671875" style="67" customWidth="1"/>
    <col min="11019" max="11020" width="4.33203125" style="67" customWidth="1"/>
    <col min="11021" max="11021" width="3.44140625" style="67" customWidth="1"/>
    <col min="11022" max="11264" width="8.77734375" style="67"/>
    <col min="11265" max="11265" width="4.33203125" style="67" customWidth="1"/>
    <col min="11266" max="11266" width="24.5546875" style="67" customWidth="1"/>
    <col min="11267" max="11267" width="18.88671875" style="67" customWidth="1"/>
    <col min="11268" max="11268" width="11.21875" style="67" customWidth="1"/>
    <col min="11269" max="11269" width="10.109375" style="67" customWidth="1"/>
    <col min="11270" max="11270" width="17.33203125" style="67" bestFit="1" customWidth="1"/>
    <col min="11271" max="11273" width="18.44140625" style="67" bestFit="1" customWidth="1"/>
    <col min="11274" max="11274" width="12.88671875" style="67" customWidth="1"/>
    <col min="11275" max="11276" width="4.33203125" style="67" customWidth="1"/>
    <col min="11277" max="11277" width="3.44140625" style="67" customWidth="1"/>
    <col min="11278" max="11520" width="8.77734375" style="67"/>
    <col min="11521" max="11521" width="4.33203125" style="67" customWidth="1"/>
    <col min="11522" max="11522" width="24.5546875" style="67" customWidth="1"/>
    <col min="11523" max="11523" width="18.88671875" style="67" customWidth="1"/>
    <col min="11524" max="11524" width="11.21875" style="67" customWidth="1"/>
    <col min="11525" max="11525" width="10.109375" style="67" customWidth="1"/>
    <col min="11526" max="11526" width="17.33203125" style="67" bestFit="1" customWidth="1"/>
    <col min="11527" max="11529" width="18.44140625" style="67" bestFit="1" customWidth="1"/>
    <col min="11530" max="11530" width="12.88671875" style="67" customWidth="1"/>
    <col min="11531" max="11532" width="4.33203125" style="67" customWidth="1"/>
    <col min="11533" max="11533" width="3.44140625" style="67" customWidth="1"/>
    <col min="11534" max="11776" width="8.77734375" style="67"/>
    <col min="11777" max="11777" width="4.33203125" style="67" customWidth="1"/>
    <col min="11778" max="11778" width="24.5546875" style="67" customWidth="1"/>
    <col min="11779" max="11779" width="18.88671875" style="67" customWidth="1"/>
    <col min="11780" max="11780" width="11.21875" style="67" customWidth="1"/>
    <col min="11781" max="11781" width="10.109375" style="67" customWidth="1"/>
    <col min="11782" max="11782" width="17.33203125" style="67" bestFit="1" customWidth="1"/>
    <col min="11783" max="11785" width="18.44140625" style="67" bestFit="1" customWidth="1"/>
    <col min="11786" max="11786" width="12.88671875" style="67" customWidth="1"/>
    <col min="11787" max="11788" width="4.33203125" style="67" customWidth="1"/>
    <col min="11789" max="11789" width="3.44140625" style="67" customWidth="1"/>
    <col min="11790" max="12032" width="8.77734375" style="67"/>
    <col min="12033" max="12033" width="4.33203125" style="67" customWidth="1"/>
    <col min="12034" max="12034" width="24.5546875" style="67" customWidth="1"/>
    <col min="12035" max="12035" width="18.88671875" style="67" customWidth="1"/>
    <col min="12036" max="12036" width="11.21875" style="67" customWidth="1"/>
    <col min="12037" max="12037" width="10.109375" style="67" customWidth="1"/>
    <col min="12038" max="12038" width="17.33203125" style="67" bestFit="1" customWidth="1"/>
    <col min="12039" max="12041" width="18.44140625" style="67" bestFit="1" customWidth="1"/>
    <col min="12042" max="12042" width="12.88671875" style="67" customWidth="1"/>
    <col min="12043" max="12044" width="4.33203125" style="67" customWidth="1"/>
    <col min="12045" max="12045" width="3.44140625" style="67" customWidth="1"/>
    <col min="12046" max="12288" width="8.77734375" style="67"/>
    <col min="12289" max="12289" width="4.33203125" style="67" customWidth="1"/>
    <col min="12290" max="12290" width="24.5546875" style="67" customWidth="1"/>
    <col min="12291" max="12291" width="18.88671875" style="67" customWidth="1"/>
    <col min="12292" max="12292" width="11.21875" style="67" customWidth="1"/>
    <col min="12293" max="12293" width="10.109375" style="67" customWidth="1"/>
    <col min="12294" max="12294" width="17.33203125" style="67" bestFit="1" customWidth="1"/>
    <col min="12295" max="12297" width="18.44140625" style="67" bestFit="1" customWidth="1"/>
    <col min="12298" max="12298" width="12.88671875" style="67" customWidth="1"/>
    <col min="12299" max="12300" width="4.33203125" style="67" customWidth="1"/>
    <col min="12301" max="12301" width="3.44140625" style="67" customWidth="1"/>
    <col min="12302" max="12544" width="8.77734375" style="67"/>
    <col min="12545" max="12545" width="4.33203125" style="67" customWidth="1"/>
    <col min="12546" max="12546" width="24.5546875" style="67" customWidth="1"/>
    <col min="12547" max="12547" width="18.88671875" style="67" customWidth="1"/>
    <col min="12548" max="12548" width="11.21875" style="67" customWidth="1"/>
    <col min="12549" max="12549" width="10.109375" style="67" customWidth="1"/>
    <col min="12550" max="12550" width="17.33203125" style="67" bestFit="1" customWidth="1"/>
    <col min="12551" max="12553" width="18.44140625" style="67" bestFit="1" customWidth="1"/>
    <col min="12554" max="12554" width="12.88671875" style="67" customWidth="1"/>
    <col min="12555" max="12556" width="4.33203125" style="67" customWidth="1"/>
    <col min="12557" max="12557" width="3.44140625" style="67" customWidth="1"/>
    <col min="12558" max="12800" width="8.77734375" style="67"/>
    <col min="12801" max="12801" width="4.33203125" style="67" customWidth="1"/>
    <col min="12802" max="12802" width="24.5546875" style="67" customWidth="1"/>
    <col min="12803" max="12803" width="18.88671875" style="67" customWidth="1"/>
    <col min="12804" max="12804" width="11.21875" style="67" customWidth="1"/>
    <col min="12805" max="12805" width="10.109375" style="67" customWidth="1"/>
    <col min="12806" max="12806" width="17.33203125" style="67" bestFit="1" customWidth="1"/>
    <col min="12807" max="12809" width="18.44140625" style="67" bestFit="1" customWidth="1"/>
    <col min="12810" max="12810" width="12.88671875" style="67" customWidth="1"/>
    <col min="12811" max="12812" width="4.33203125" style="67" customWidth="1"/>
    <col min="12813" max="12813" width="3.44140625" style="67" customWidth="1"/>
    <col min="12814" max="13056" width="8.77734375" style="67"/>
    <col min="13057" max="13057" width="4.33203125" style="67" customWidth="1"/>
    <col min="13058" max="13058" width="24.5546875" style="67" customWidth="1"/>
    <col min="13059" max="13059" width="18.88671875" style="67" customWidth="1"/>
    <col min="13060" max="13060" width="11.21875" style="67" customWidth="1"/>
    <col min="13061" max="13061" width="10.109375" style="67" customWidth="1"/>
    <col min="13062" max="13062" width="17.33203125" style="67" bestFit="1" customWidth="1"/>
    <col min="13063" max="13065" width="18.44140625" style="67" bestFit="1" customWidth="1"/>
    <col min="13066" max="13066" width="12.88671875" style="67" customWidth="1"/>
    <col min="13067" max="13068" width="4.33203125" style="67" customWidth="1"/>
    <col min="13069" max="13069" width="3.44140625" style="67" customWidth="1"/>
    <col min="13070" max="13312" width="8.77734375" style="67"/>
    <col min="13313" max="13313" width="4.33203125" style="67" customWidth="1"/>
    <col min="13314" max="13314" width="24.5546875" style="67" customWidth="1"/>
    <col min="13315" max="13315" width="18.88671875" style="67" customWidth="1"/>
    <col min="13316" max="13316" width="11.21875" style="67" customWidth="1"/>
    <col min="13317" max="13317" width="10.109375" style="67" customWidth="1"/>
    <col min="13318" max="13318" width="17.33203125" style="67" bestFit="1" customWidth="1"/>
    <col min="13319" max="13321" width="18.44140625" style="67" bestFit="1" customWidth="1"/>
    <col min="13322" max="13322" width="12.88671875" style="67" customWidth="1"/>
    <col min="13323" max="13324" width="4.33203125" style="67" customWidth="1"/>
    <col min="13325" max="13325" width="3.44140625" style="67" customWidth="1"/>
    <col min="13326" max="13568" width="8.77734375" style="67"/>
    <col min="13569" max="13569" width="4.33203125" style="67" customWidth="1"/>
    <col min="13570" max="13570" width="24.5546875" style="67" customWidth="1"/>
    <col min="13571" max="13571" width="18.88671875" style="67" customWidth="1"/>
    <col min="13572" max="13572" width="11.21875" style="67" customWidth="1"/>
    <col min="13573" max="13573" width="10.109375" style="67" customWidth="1"/>
    <col min="13574" max="13574" width="17.33203125" style="67" bestFit="1" customWidth="1"/>
    <col min="13575" max="13577" width="18.44140625" style="67" bestFit="1" customWidth="1"/>
    <col min="13578" max="13578" width="12.88671875" style="67" customWidth="1"/>
    <col min="13579" max="13580" width="4.33203125" style="67" customWidth="1"/>
    <col min="13581" max="13581" width="3.44140625" style="67" customWidth="1"/>
    <col min="13582" max="13824" width="8.77734375" style="67"/>
    <col min="13825" max="13825" width="4.33203125" style="67" customWidth="1"/>
    <col min="13826" max="13826" width="24.5546875" style="67" customWidth="1"/>
    <col min="13827" max="13827" width="18.88671875" style="67" customWidth="1"/>
    <col min="13828" max="13828" width="11.21875" style="67" customWidth="1"/>
    <col min="13829" max="13829" width="10.109375" style="67" customWidth="1"/>
    <col min="13830" max="13830" width="17.33203125" style="67" bestFit="1" customWidth="1"/>
    <col min="13831" max="13833" width="18.44140625" style="67" bestFit="1" customWidth="1"/>
    <col min="13834" max="13834" width="12.88671875" style="67" customWidth="1"/>
    <col min="13835" max="13836" width="4.33203125" style="67" customWidth="1"/>
    <col min="13837" max="13837" width="3.44140625" style="67" customWidth="1"/>
    <col min="13838" max="14080" width="8.77734375" style="67"/>
    <col min="14081" max="14081" width="4.33203125" style="67" customWidth="1"/>
    <col min="14082" max="14082" width="24.5546875" style="67" customWidth="1"/>
    <col min="14083" max="14083" width="18.88671875" style="67" customWidth="1"/>
    <col min="14084" max="14084" width="11.21875" style="67" customWidth="1"/>
    <col min="14085" max="14085" width="10.109375" style="67" customWidth="1"/>
    <col min="14086" max="14086" width="17.33203125" style="67" bestFit="1" customWidth="1"/>
    <col min="14087" max="14089" width="18.44140625" style="67" bestFit="1" customWidth="1"/>
    <col min="14090" max="14090" width="12.88671875" style="67" customWidth="1"/>
    <col min="14091" max="14092" width="4.33203125" style="67" customWidth="1"/>
    <col min="14093" max="14093" width="3.44140625" style="67" customWidth="1"/>
    <col min="14094" max="14336" width="8.77734375" style="67"/>
    <col min="14337" max="14337" width="4.33203125" style="67" customWidth="1"/>
    <col min="14338" max="14338" width="24.5546875" style="67" customWidth="1"/>
    <col min="14339" max="14339" width="18.88671875" style="67" customWidth="1"/>
    <col min="14340" max="14340" width="11.21875" style="67" customWidth="1"/>
    <col min="14341" max="14341" width="10.109375" style="67" customWidth="1"/>
    <col min="14342" max="14342" width="17.33203125" style="67" bestFit="1" customWidth="1"/>
    <col min="14343" max="14345" width="18.44140625" style="67" bestFit="1" customWidth="1"/>
    <col min="14346" max="14346" width="12.88671875" style="67" customWidth="1"/>
    <col min="14347" max="14348" width="4.33203125" style="67" customWidth="1"/>
    <col min="14349" max="14349" width="3.44140625" style="67" customWidth="1"/>
    <col min="14350" max="14592" width="8.77734375" style="67"/>
    <col min="14593" max="14593" width="4.33203125" style="67" customWidth="1"/>
    <col min="14594" max="14594" width="24.5546875" style="67" customWidth="1"/>
    <col min="14595" max="14595" width="18.88671875" style="67" customWidth="1"/>
    <col min="14596" max="14596" width="11.21875" style="67" customWidth="1"/>
    <col min="14597" max="14597" width="10.109375" style="67" customWidth="1"/>
    <col min="14598" max="14598" width="17.33203125" style="67" bestFit="1" customWidth="1"/>
    <col min="14599" max="14601" width="18.44140625" style="67" bestFit="1" customWidth="1"/>
    <col min="14602" max="14602" width="12.88671875" style="67" customWidth="1"/>
    <col min="14603" max="14604" width="4.33203125" style="67" customWidth="1"/>
    <col min="14605" max="14605" width="3.44140625" style="67" customWidth="1"/>
    <col min="14606" max="14848" width="8.77734375" style="67"/>
    <col min="14849" max="14849" width="4.33203125" style="67" customWidth="1"/>
    <col min="14850" max="14850" width="24.5546875" style="67" customWidth="1"/>
    <col min="14851" max="14851" width="18.88671875" style="67" customWidth="1"/>
    <col min="14852" max="14852" width="11.21875" style="67" customWidth="1"/>
    <col min="14853" max="14853" width="10.109375" style="67" customWidth="1"/>
    <col min="14854" max="14854" width="17.33203125" style="67" bestFit="1" customWidth="1"/>
    <col min="14855" max="14857" width="18.44140625" style="67" bestFit="1" customWidth="1"/>
    <col min="14858" max="14858" width="12.88671875" style="67" customWidth="1"/>
    <col min="14859" max="14860" width="4.33203125" style="67" customWidth="1"/>
    <col min="14861" max="14861" width="3.44140625" style="67" customWidth="1"/>
    <col min="14862" max="15104" width="8.77734375" style="67"/>
    <col min="15105" max="15105" width="4.33203125" style="67" customWidth="1"/>
    <col min="15106" max="15106" width="24.5546875" style="67" customWidth="1"/>
    <col min="15107" max="15107" width="18.88671875" style="67" customWidth="1"/>
    <col min="15108" max="15108" width="11.21875" style="67" customWidth="1"/>
    <col min="15109" max="15109" width="10.109375" style="67" customWidth="1"/>
    <col min="15110" max="15110" width="17.33203125" style="67" bestFit="1" customWidth="1"/>
    <col min="15111" max="15113" width="18.44140625" style="67" bestFit="1" customWidth="1"/>
    <col min="15114" max="15114" width="12.88671875" style="67" customWidth="1"/>
    <col min="15115" max="15116" width="4.33203125" style="67" customWidth="1"/>
    <col min="15117" max="15117" width="3.44140625" style="67" customWidth="1"/>
    <col min="15118" max="15360" width="8.77734375" style="67"/>
    <col min="15361" max="15361" width="4.33203125" style="67" customWidth="1"/>
    <col min="15362" max="15362" width="24.5546875" style="67" customWidth="1"/>
    <col min="15363" max="15363" width="18.88671875" style="67" customWidth="1"/>
    <col min="15364" max="15364" width="11.21875" style="67" customWidth="1"/>
    <col min="15365" max="15365" width="10.109375" style="67" customWidth="1"/>
    <col min="15366" max="15366" width="17.33203125" style="67" bestFit="1" customWidth="1"/>
    <col min="15367" max="15369" width="18.44140625" style="67" bestFit="1" customWidth="1"/>
    <col min="15370" max="15370" width="12.88671875" style="67" customWidth="1"/>
    <col min="15371" max="15372" width="4.33203125" style="67" customWidth="1"/>
    <col min="15373" max="15373" width="3.44140625" style="67" customWidth="1"/>
    <col min="15374" max="15616" width="8.77734375" style="67"/>
    <col min="15617" max="15617" width="4.33203125" style="67" customWidth="1"/>
    <col min="15618" max="15618" width="24.5546875" style="67" customWidth="1"/>
    <col min="15619" max="15619" width="18.88671875" style="67" customWidth="1"/>
    <col min="15620" max="15620" width="11.21875" style="67" customWidth="1"/>
    <col min="15621" max="15621" width="10.109375" style="67" customWidth="1"/>
    <col min="15622" max="15622" width="17.33203125" style="67" bestFit="1" customWidth="1"/>
    <col min="15623" max="15625" width="18.44140625" style="67" bestFit="1" customWidth="1"/>
    <col min="15626" max="15626" width="12.88671875" style="67" customWidth="1"/>
    <col min="15627" max="15628" width="4.33203125" style="67" customWidth="1"/>
    <col min="15629" max="15629" width="3.44140625" style="67" customWidth="1"/>
    <col min="15630" max="15872" width="8.77734375" style="67"/>
    <col min="15873" max="15873" width="4.33203125" style="67" customWidth="1"/>
    <col min="15874" max="15874" width="24.5546875" style="67" customWidth="1"/>
    <col min="15875" max="15875" width="18.88671875" style="67" customWidth="1"/>
    <col min="15876" max="15876" width="11.21875" style="67" customWidth="1"/>
    <col min="15877" max="15877" width="10.109375" style="67" customWidth="1"/>
    <col min="15878" max="15878" width="17.33203125" style="67" bestFit="1" customWidth="1"/>
    <col min="15879" max="15881" width="18.44140625" style="67" bestFit="1" customWidth="1"/>
    <col min="15882" max="15882" width="12.88671875" style="67" customWidth="1"/>
    <col min="15883" max="15884" width="4.33203125" style="67" customWidth="1"/>
    <col min="15885" max="15885" width="3.44140625" style="67" customWidth="1"/>
    <col min="15886" max="16128" width="8.77734375" style="67"/>
    <col min="16129" max="16129" width="4.33203125" style="67" customWidth="1"/>
    <col min="16130" max="16130" width="24.5546875" style="67" customWidth="1"/>
    <col min="16131" max="16131" width="18.88671875" style="67" customWidth="1"/>
    <col min="16132" max="16132" width="11.21875" style="67" customWidth="1"/>
    <col min="16133" max="16133" width="10.109375" style="67" customWidth="1"/>
    <col min="16134" max="16134" width="17.33203125" style="67" bestFit="1" customWidth="1"/>
    <col min="16135" max="16137" width="18.44140625" style="67" bestFit="1" customWidth="1"/>
    <col min="16138" max="16138" width="12.88671875" style="67" customWidth="1"/>
    <col min="16139" max="16140" width="4.33203125" style="67" customWidth="1"/>
    <col min="16141" max="16141" width="3.44140625" style="67" customWidth="1"/>
    <col min="16142" max="16384" width="8.77734375" style="67"/>
  </cols>
  <sheetData>
    <row r="1" spans="1:65" s="2" customFormat="1" ht="11.25" x14ac:dyDescent="0.2">
      <c r="A1" s="240" t="s">
        <v>212</v>
      </c>
      <c r="B1" s="240"/>
      <c r="C1" s="240"/>
      <c r="D1" s="240"/>
      <c r="E1" s="240"/>
      <c r="F1" s="240"/>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row>
    <row r="2" spans="1:65" ht="21" x14ac:dyDescent="0.35">
      <c r="A2" s="241" t="s">
        <v>344</v>
      </c>
      <c r="B2" s="241"/>
      <c r="C2" s="241"/>
      <c r="D2" s="241"/>
      <c r="E2" s="241"/>
      <c r="F2" s="241"/>
      <c r="G2" s="51"/>
      <c r="H2" s="51"/>
      <c r="I2" s="51"/>
      <c r="J2" s="51"/>
      <c r="K2" s="51"/>
      <c r="L2" s="51"/>
      <c r="M2" s="51"/>
      <c r="N2" s="51"/>
      <c r="O2" s="51"/>
      <c r="P2" s="51"/>
      <c r="Q2" s="51"/>
      <c r="R2" s="51"/>
      <c r="S2" s="51"/>
      <c r="T2" s="51"/>
      <c r="U2" s="51"/>
      <c r="V2" s="51"/>
      <c r="W2" s="51"/>
      <c r="X2" s="51"/>
      <c r="Y2" s="51"/>
      <c r="Z2" s="51"/>
    </row>
    <row r="3" spans="1:65" x14ac:dyDescent="0.25">
      <c r="A3" s="5" t="s">
        <v>214</v>
      </c>
      <c r="B3" s="51"/>
      <c r="C3" s="51"/>
      <c r="D3" s="51"/>
      <c r="E3" s="51"/>
      <c r="F3" s="51"/>
      <c r="G3" s="51"/>
      <c r="H3" s="51"/>
      <c r="I3" s="51"/>
      <c r="J3" s="51"/>
      <c r="K3" s="51"/>
      <c r="L3" s="51"/>
      <c r="M3" s="51"/>
      <c r="N3" s="51"/>
      <c r="O3" s="51"/>
      <c r="P3" s="51"/>
      <c r="Q3" s="51"/>
      <c r="R3" s="51"/>
      <c r="S3" s="51"/>
      <c r="T3" s="51"/>
      <c r="U3" s="51"/>
      <c r="V3" s="51"/>
      <c r="W3" s="51"/>
      <c r="X3" s="51"/>
      <c r="Y3" s="51"/>
      <c r="Z3" s="51"/>
    </row>
    <row r="4" spans="1:65" s="68" customFormat="1" ht="7.5" thickBot="1" x14ac:dyDescent="0.2">
      <c r="A4" s="52"/>
      <c r="B4" s="52"/>
      <c r="C4" s="52"/>
      <c r="D4" s="52"/>
      <c r="E4" s="52"/>
      <c r="F4" s="52"/>
      <c r="G4" s="52"/>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2"/>
      <c r="AX4" s="52"/>
      <c r="AY4" s="52"/>
      <c r="AZ4" s="52"/>
      <c r="BA4" s="52"/>
      <c r="BB4" s="52"/>
      <c r="BC4" s="52"/>
      <c r="BD4" s="52"/>
      <c r="BE4" s="52"/>
      <c r="BF4" s="52"/>
      <c r="BG4" s="52"/>
      <c r="BH4" s="52"/>
      <c r="BI4" s="52"/>
      <c r="BJ4" s="52"/>
      <c r="BK4" s="52"/>
      <c r="BL4" s="52"/>
      <c r="BM4" s="52"/>
    </row>
    <row r="5" spans="1:65" ht="27.75" thickTop="1" x14ac:dyDescent="0.25">
      <c r="A5" s="51"/>
      <c r="B5" s="9" t="s">
        <v>215</v>
      </c>
      <c r="C5" s="10" t="s">
        <v>344</v>
      </c>
      <c r="D5" s="9" t="s">
        <v>216</v>
      </c>
      <c r="E5" s="11">
        <v>45085</v>
      </c>
      <c r="F5" s="12" t="s">
        <v>217</v>
      </c>
      <c r="G5" s="11" t="s">
        <v>218</v>
      </c>
      <c r="H5" s="51"/>
      <c r="I5" s="51"/>
      <c r="J5" s="51"/>
      <c r="K5" s="51"/>
      <c r="L5" s="51"/>
      <c r="M5" s="51"/>
      <c r="N5" s="51"/>
      <c r="O5" s="51"/>
      <c r="P5" s="51"/>
      <c r="Q5" s="51"/>
      <c r="R5" s="51"/>
      <c r="S5" s="51"/>
      <c r="T5" s="51"/>
      <c r="U5" s="51"/>
      <c r="V5" s="51"/>
      <c r="W5" s="51"/>
      <c r="X5" s="51"/>
      <c r="Y5" s="51"/>
      <c r="Z5" s="51"/>
    </row>
    <row r="6" spans="1:65" ht="15.75" thickBot="1" x14ac:dyDescent="0.3">
      <c r="A6" s="51"/>
      <c r="B6" s="13" t="s">
        <v>219</v>
      </c>
      <c r="C6" s="14" t="s">
        <v>345</v>
      </c>
      <c r="D6" s="15" t="s">
        <v>221</v>
      </c>
      <c r="E6" s="16">
        <v>2</v>
      </c>
      <c r="F6" s="15" t="s">
        <v>222</v>
      </c>
      <c r="G6" s="17">
        <v>2022</v>
      </c>
      <c r="H6" s="51"/>
      <c r="I6" s="51"/>
      <c r="J6" s="51"/>
      <c r="K6" s="51"/>
      <c r="L6" s="51"/>
      <c r="M6" s="51"/>
      <c r="N6" s="51"/>
      <c r="O6" s="51"/>
      <c r="P6" s="51"/>
      <c r="Q6" s="51"/>
      <c r="R6" s="51"/>
      <c r="S6" s="51"/>
      <c r="T6" s="51"/>
      <c r="U6" s="51"/>
      <c r="V6" s="51"/>
      <c r="W6" s="51"/>
      <c r="X6" s="51"/>
      <c r="Y6" s="51"/>
      <c r="Z6" s="51"/>
    </row>
    <row r="7" spans="1:65" ht="16.5" thickTop="1" thickBot="1" x14ac:dyDescent="0.3">
      <c r="A7" s="51"/>
      <c r="B7" s="51"/>
      <c r="C7" s="51"/>
      <c r="D7" s="51"/>
      <c r="E7" s="51"/>
      <c r="F7" s="51"/>
      <c r="G7" s="51"/>
      <c r="H7" s="51"/>
      <c r="I7" s="51"/>
      <c r="J7" s="51"/>
      <c r="K7" s="51"/>
      <c r="L7" s="51"/>
      <c r="M7" s="51"/>
      <c r="N7" s="51"/>
      <c r="O7" s="51"/>
      <c r="P7" s="51"/>
      <c r="Q7" s="51"/>
      <c r="R7" s="51"/>
      <c r="S7" s="51"/>
      <c r="T7" s="51"/>
      <c r="U7" s="51"/>
      <c r="V7" s="51"/>
      <c r="W7" s="51"/>
      <c r="X7" s="51"/>
      <c r="Y7" s="51"/>
      <c r="Z7" s="51"/>
    </row>
    <row r="8" spans="1:65" ht="39.75" customHeight="1" thickTop="1" thickBot="1" x14ac:dyDescent="0.3">
      <c r="A8" s="51"/>
      <c r="B8" s="302" t="s">
        <v>346</v>
      </c>
      <c r="C8" s="303"/>
      <c r="D8" s="303"/>
      <c r="E8" s="303"/>
      <c r="F8" s="303"/>
      <c r="G8" s="303"/>
      <c r="H8" s="303"/>
      <c r="I8" s="303"/>
      <c r="J8" s="303"/>
      <c r="K8" s="303"/>
      <c r="L8" s="303"/>
      <c r="M8" s="304"/>
      <c r="N8" s="51"/>
      <c r="O8" s="51"/>
      <c r="P8" s="51"/>
      <c r="Q8" s="51"/>
      <c r="R8" s="51"/>
      <c r="S8" s="51"/>
      <c r="T8" s="51"/>
      <c r="U8" s="51"/>
      <c r="V8" s="51"/>
      <c r="W8" s="51"/>
      <c r="X8" s="51"/>
      <c r="Y8" s="51"/>
      <c r="Z8" s="51"/>
    </row>
    <row r="9" spans="1:65" ht="15.75" thickTop="1" x14ac:dyDescent="0.25">
      <c r="A9" s="51"/>
      <c r="B9" s="239"/>
      <c r="C9" s="305"/>
      <c r="D9" s="305"/>
      <c r="E9" s="305"/>
      <c r="F9" s="305"/>
      <c r="G9" s="305"/>
      <c r="H9" s="305"/>
      <c r="I9" s="305"/>
      <c r="J9" s="305"/>
      <c r="K9" s="305"/>
      <c r="L9" s="305"/>
      <c r="M9" s="305"/>
      <c r="N9" s="51"/>
      <c r="O9" s="51"/>
      <c r="P9" s="51"/>
      <c r="Q9" s="51"/>
      <c r="R9" s="51"/>
      <c r="S9" s="51"/>
      <c r="T9" s="51"/>
      <c r="U9" s="51"/>
      <c r="V9" s="51"/>
      <c r="W9" s="51"/>
      <c r="X9" s="51"/>
      <c r="Y9" s="51"/>
      <c r="Z9" s="51"/>
    </row>
    <row r="10" spans="1:65" ht="15.75" x14ac:dyDescent="0.25">
      <c r="A10" s="51"/>
      <c r="B10" s="245" t="s">
        <v>224</v>
      </c>
      <c r="C10" s="245"/>
      <c r="D10" s="245"/>
      <c r="E10" s="245"/>
      <c r="F10" s="245"/>
      <c r="G10" s="245"/>
      <c r="H10" s="245"/>
      <c r="I10" s="245"/>
      <c r="J10" s="245"/>
      <c r="K10" s="245"/>
      <c r="L10" s="245"/>
      <c r="M10" s="245"/>
      <c r="N10" s="51"/>
      <c r="O10" s="51"/>
      <c r="P10" s="51"/>
      <c r="Q10" s="51"/>
      <c r="R10" s="51"/>
      <c r="S10" s="51"/>
      <c r="T10" s="51"/>
      <c r="U10" s="51"/>
      <c r="V10" s="51"/>
      <c r="W10" s="51"/>
      <c r="X10" s="51"/>
      <c r="Y10" s="51"/>
      <c r="Z10" s="51"/>
    </row>
    <row r="11" spans="1:65" s="51" customFormat="1" ht="20.65" customHeight="1" x14ac:dyDescent="0.25">
      <c r="B11" s="239" t="s">
        <v>347</v>
      </c>
      <c r="C11" s="239"/>
      <c r="D11" s="239"/>
      <c r="E11" s="239"/>
      <c r="F11" s="239"/>
      <c r="G11" s="239"/>
      <c r="H11" s="239"/>
      <c r="I11" s="239"/>
      <c r="J11" s="239"/>
      <c r="K11" s="239"/>
      <c r="L11" s="239"/>
      <c r="M11" s="239"/>
    </row>
    <row r="12" spans="1:65" s="51" customFormat="1" ht="22.5" customHeight="1" x14ac:dyDescent="0.25">
      <c r="B12" s="298" t="s">
        <v>348</v>
      </c>
      <c r="C12" s="298"/>
      <c r="D12" s="298"/>
      <c r="E12" s="298"/>
      <c r="F12" s="298"/>
      <c r="G12" s="298"/>
      <c r="H12" s="298"/>
      <c r="I12" s="298"/>
      <c r="J12" s="298"/>
      <c r="K12" s="298"/>
      <c r="L12" s="298"/>
      <c r="M12" s="298"/>
    </row>
    <row r="13" spans="1:65" s="51" customFormat="1" ht="18" customHeight="1" x14ac:dyDescent="0.25">
      <c r="B13" s="306" t="s">
        <v>349</v>
      </c>
      <c r="C13" s="306"/>
      <c r="D13" s="306"/>
      <c r="E13" s="306"/>
      <c r="F13" s="306"/>
      <c r="G13" s="306"/>
      <c r="H13" s="306"/>
      <c r="I13" s="306"/>
      <c r="J13" s="306"/>
      <c r="K13" s="306"/>
      <c r="L13" s="306"/>
      <c r="M13" s="306"/>
    </row>
    <row r="14" spans="1:65" s="51" customFormat="1" x14ac:dyDescent="0.25">
      <c r="B14" s="239"/>
      <c r="C14" s="239"/>
      <c r="D14" s="239"/>
      <c r="E14" s="239"/>
      <c r="F14" s="239"/>
      <c r="G14" s="239"/>
      <c r="H14" s="239"/>
      <c r="I14" s="239"/>
      <c r="J14" s="239"/>
      <c r="K14" s="239"/>
      <c r="L14" s="239"/>
      <c r="M14" s="239"/>
    </row>
    <row r="15" spans="1:65" s="51" customFormat="1" ht="15.75" x14ac:dyDescent="0.25">
      <c r="B15" s="245" t="s">
        <v>350</v>
      </c>
      <c r="C15" s="245"/>
      <c r="D15" s="245"/>
      <c r="E15" s="245"/>
      <c r="F15" s="245"/>
      <c r="G15" s="245"/>
      <c r="H15" s="245"/>
      <c r="I15" s="245"/>
      <c r="J15" s="245"/>
      <c r="K15" s="245"/>
      <c r="L15" s="245"/>
      <c r="M15" s="245"/>
    </row>
    <row r="16" spans="1:65" s="51" customFormat="1" ht="18" customHeight="1" x14ac:dyDescent="0.25">
      <c r="B16" s="239" t="s">
        <v>351</v>
      </c>
      <c r="C16" s="239"/>
      <c r="D16" s="239"/>
      <c r="E16" s="239"/>
      <c r="F16" s="239"/>
      <c r="G16" s="239"/>
      <c r="H16" s="239"/>
      <c r="I16" s="239"/>
      <c r="J16" s="239"/>
      <c r="K16" s="239"/>
      <c r="L16" s="239"/>
      <c r="M16" s="239"/>
    </row>
    <row r="17" spans="1:65" s="51" customFormat="1" ht="18" customHeight="1" x14ac:dyDescent="0.25">
      <c r="B17" s="239" t="s">
        <v>352</v>
      </c>
      <c r="C17" s="239"/>
      <c r="D17" s="239"/>
      <c r="E17" s="239"/>
      <c r="F17" s="239"/>
      <c r="G17" s="239"/>
      <c r="H17" s="239"/>
      <c r="I17" s="239"/>
      <c r="J17" s="239"/>
      <c r="K17" s="239"/>
      <c r="L17" s="239"/>
      <c r="M17" s="239"/>
    </row>
    <row r="18" spans="1:65" s="51" customFormat="1" ht="19.350000000000001" customHeight="1" x14ac:dyDescent="0.25">
      <c r="B18" s="239" t="s">
        <v>353</v>
      </c>
      <c r="C18" s="239"/>
      <c r="D18" s="239"/>
      <c r="E18" s="239"/>
      <c r="F18" s="239"/>
      <c r="G18" s="239"/>
      <c r="H18" s="239"/>
      <c r="I18" s="239"/>
      <c r="J18" s="239"/>
      <c r="K18" s="239"/>
      <c r="L18" s="239"/>
      <c r="M18" s="239"/>
    </row>
    <row r="19" spans="1:65" s="31" customFormat="1" x14ac:dyDescent="0.25">
      <c r="B19" s="48"/>
      <c r="C19" s="69"/>
      <c r="D19" s="69"/>
      <c r="E19" s="69"/>
      <c r="F19" s="69"/>
      <c r="G19" s="69"/>
      <c r="H19" s="69"/>
      <c r="I19" s="69"/>
      <c r="J19" s="70"/>
      <c r="K19" s="69"/>
      <c r="L19" s="69"/>
      <c r="M19" s="69"/>
    </row>
    <row r="20" spans="1:65" s="71" customFormat="1" ht="18" x14ac:dyDescent="0.35">
      <c r="A20" s="31"/>
      <c r="B20" s="59" t="s">
        <v>235</v>
      </c>
      <c r="C20" s="22" t="s">
        <v>354</v>
      </c>
      <c r="D20" s="22" t="s">
        <v>237</v>
      </c>
      <c r="E20" s="23" t="s">
        <v>54</v>
      </c>
      <c r="F20" s="23" t="s">
        <v>238</v>
      </c>
      <c r="G20" s="23" t="s">
        <v>239</v>
      </c>
      <c r="H20" s="23" t="s">
        <v>240</v>
      </c>
      <c r="I20" s="23" t="s">
        <v>241</v>
      </c>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row>
    <row r="21" spans="1:65" s="71" customFormat="1" x14ac:dyDescent="0.25">
      <c r="A21" s="31"/>
      <c r="B21" s="60" t="s">
        <v>355</v>
      </c>
      <c r="C21" s="23" t="s">
        <v>338</v>
      </c>
      <c r="D21" s="23" t="s">
        <v>339</v>
      </c>
      <c r="E21" s="61">
        <v>2022</v>
      </c>
      <c r="F21" s="72">
        <v>1.7690000000000001E-2</v>
      </c>
      <c r="G21" s="72">
        <v>1.7500000000000002E-2</v>
      </c>
      <c r="H21" s="72">
        <v>6.9999999999999994E-5</v>
      </c>
      <c r="I21" s="72">
        <v>1.2E-4</v>
      </c>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row>
    <row r="22" spans="1:65" s="71" customFormat="1" x14ac:dyDescent="0.25">
      <c r="A22" s="31"/>
      <c r="B22" s="31"/>
      <c r="C22" s="31"/>
      <c r="D22" s="31"/>
      <c r="E22" s="31"/>
      <c r="F22" s="31"/>
      <c r="G22" s="73"/>
      <c r="H22" s="31"/>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row>
    <row r="23" spans="1:65" s="71" customFormat="1" x14ac:dyDescent="0.25">
      <c r="A23" s="31"/>
      <c r="B23" s="31"/>
      <c r="C23" s="31"/>
      <c r="D23" s="31"/>
      <c r="E23" s="31"/>
      <c r="F23" s="31"/>
      <c r="G23" s="73"/>
      <c r="H23" s="31"/>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row>
    <row r="24" spans="1:65" s="31" customFormat="1" x14ac:dyDescent="0.25">
      <c r="B24" s="74"/>
    </row>
    <row r="25" spans="1:65" s="31" customFormat="1" ht="18" x14ac:dyDescent="0.35">
      <c r="B25" s="59" t="s">
        <v>235</v>
      </c>
      <c r="C25" s="22" t="s">
        <v>354</v>
      </c>
      <c r="D25" s="22" t="s">
        <v>237</v>
      </c>
      <c r="E25" s="23" t="s">
        <v>54</v>
      </c>
      <c r="F25" s="23" t="s">
        <v>238</v>
      </c>
      <c r="G25" s="23" t="s">
        <v>239</v>
      </c>
      <c r="H25" s="23" t="s">
        <v>240</v>
      </c>
      <c r="I25" s="23" t="s">
        <v>241</v>
      </c>
    </row>
    <row r="26" spans="1:65" s="31" customFormat="1" x14ac:dyDescent="0.25">
      <c r="B26" s="60" t="s">
        <v>356</v>
      </c>
      <c r="C26" s="23" t="s">
        <v>357</v>
      </c>
      <c r="D26" s="23" t="s">
        <v>339</v>
      </c>
      <c r="E26" s="61">
        <v>2022</v>
      </c>
      <c r="F26" s="72">
        <v>8.9899999999999997E-3</v>
      </c>
      <c r="G26" s="72">
        <v>8.8999999999999999E-3</v>
      </c>
      <c r="H26" s="72">
        <v>6.0000000000000002E-5</v>
      </c>
      <c r="I26" s="72">
        <v>3.0000000000000001E-5</v>
      </c>
    </row>
    <row r="27" spans="1:65" s="31" customFormat="1" x14ac:dyDescent="0.25">
      <c r="B27" s="69"/>
      <c r="C27" s="48"/>
      <c r="D27" s="48"/>
      <c r="E27" s="48"/>
      <c r="F27" s="48"/>
      <c r="G27" s="48"/>
      <c r="H27" s="48"/>
      <c r="I27" s="48"/>
      <c r="J27" s="48"/>
      <c r="K27" s="48"/>
      <c r="L27" s="48"/>
      <c r="M27" s="48"/>
    </row>
    <row r="28" spans="1:65" s="51" customFormat="1" ht="15.75" x14ac:dyDescent="0.25">
      <c r="B28" s="245" t="s">
        <v>279</v>
      </c>
      <c r="C28" s="245"/>
      <c r="D28" s="245"/>
      <c r="E28" s="245"/>
      <c r="F28" s="245"/>
      <c r="G28" s="245"/>
      <c r="H28" s="245"/>
      <c r="I28" s="245"/>
      <c r="J28" s="245"/>
      <c r="K28" s="245"/>
      <c r="L28" s="245"/>
      <c r="M28" s="245"/>
    </row>
    <row r="29" spans="1:65" s="51" customFormat="1" x14ac:dyDescent="0.25">
      <c r="B29" s="283" t="s">
        <v>358</v>
      </c>
      <c r="C29" s="283"/>
      <c r="D29" s="283"/>
      <c r="E29" s="283"/>
      <c r="F29" s="283"/>
      <c r="G29" s="283"/>
      <c r="H29" s="283"/>
      <c r="I29" s="283"/>
      <c r="J29" s="283"/>
      <c r="K29" s="283"/>
      <c r="L29" s="283"/>
      <c r="M29" s="283"/>
    </row>
    <row r="30" spans="1:65" s="51" customFormat="1" ht="32.65" customHeight="1" x14ac:dyDescent="0.25">
      <c r="B30" s="239" t="s">
        <v>359</v>
      </c>
      <c r="C30" s="239"/>
      <c r="D30" s="239"/>
      <c r="E30" s="239"/>
      <c r="F30" s="239"/>
      <c r="G30" s="239"/>
      <c r="H30" s="239"/>
      <c r="I30" s="239"/>
      <c r="J30" s="239"/>
      <c r="K30" s="239"/>
      <c r="L30" s="239"/>
      <c r="M30" s="239"/>
    </row>
    <row r="31" spans="1:65" s="51" customFormat="1" ht="20.100000000000001" customHeight="1" x14ac:dyDescent="0.25">
      <c r="B31" s="283" t="s">
        <v>360</v>
      </c>
      <c r="C31" s="283"/>
      <c r="D31" s="283"/>
      <c r="E31" s="283"/>
      <c r="F31" s="283"/>
      <c r="G31" s="283"/>
      <c r="H31" s="283"/>
      <c r="I31" s="283"/>
      <c r="J31" s="283"/>
      <c r="K31" s="283"/>
      <c r="L31" s="283"/>
      <c r="M31" s="283"/>
    </row>
    <row r="32" spans="1:65" s="51" customFormat="1" ht="59.1" customHeight="1" x14ac:dyDescent="0.25">
      <c r="B32" s="239" t="s">
        <v>361</v>
      </c>
      <c r="C32" s="239"/>
      <c r="D32" s="239"/>
      <c r="E32" s="239"/>
      <c r="F32" s="239"/>
      <c r="G32" s="239"/>
      <c r="H32" s="239"/>
      <c r="I32" s="239"/>
      <c r="J32" s="239"/>
      <c r="K32" s="239"/>
      <c r="L32" s="239"/>
      <c r="M32" s="239"/>
    </row>
    <row r="33" spans="2:13" s="51" customFormat="1" ht="15.75" customHeight="1" x14ac:dyDescent="0.25">
      <c r="B33" s="50" t="s">
        <v>286</v>
      </c>
      <c r="C33" s="50"/>
      <c r="D33" s="50"/>
      <c r="E33" s="50"/>
      <c r="F33" s="50"/>
      <c r="G33" s="50"/>
      <c r="H33" s="50"/>
      <c r="I33" s="50"/>
      <c r="J33" s="50"/>
      <c r="K33" s="50"/>
      <c r="L33" s="50"/>
      <c r="M33" s="50"/>
    </row>
    <row r="34" spans="2:13" s="51" customFormat="1" x14ac:dyDescent="0.25"/>
    <row r="35" spans="2:13" s="51" customFormat="1" x14ac:dyDescent="0.25"/>
    <row r="36" spans="2:13" s="51" customFormat="1" x14ac:dyDescent="0.25"/>
    <row r="37" spans="2:13" s="51" customFormat="1" x14ac:dyDescent="0.25"/>
    <row r="38" spans="2:13" s="51" customFormat="1" x14ac:dyDescent="0.25"/>
    <row r="39" spans="2:13" s="51" customFormat="1" x14ac:dyDescent="0.25"/>
    <row r="40" spans="2:13" s="51" customFormat="1" x14ac:dyDescent="0.25"/>
    <row r="41" spans="2:13" s="51" customFormat="1" x14ac:dyDescent="0.25"/>
    <row r="42" spans="2:13" s="51" customFormat="1" x14ac:dyDescent="0.25"/>
    <row r="43" spans="2:13" s="51" customFormat="1" x14ac:dyDescent="0.25"/>
    <row r="44" spans="2:13" s="51" customFormat="1" x14ac:dyDescent="0.25"/>
    <row r="45" spans="2:13" s="51" customFormat="1" x14ac:dyDescent="0.25"/>
    <row r="46" spans="2:13" s="51" customFormat="1" x14ac:dyDescent="0.25"/>
    <row r="47" spans="2:13" s="51" customFormat="1" x14ac:dyDescent="0.25"/>
    <row r="48" spans="2:13" s="51" customFormat="1" x14ac:dyDescent="0.25"/>
    <row r="49" s="51" customFormat="1" x14ac:dyDescent="0.25"/>
    <row r="50" s="51" customFormat="1" x14ac:dyDescent="0.25"/>
    <row r="51" s="51" customFormat="1" x14ac:dyDescent="0.25"/>
    <row r="52" s="51" customFormat="1" x14ac:dyDescent="0.25"/>
    <row r="53" s="51" customFormat="1" x14ac:dyDescent="0.25"/>
    <row r="54" s="51" customFormat="1" x14ac:dyDescent="0.25"/>
    <row r="55" s="51" customFormat="1" x14ac:dyDescent="0.25"/>
    <row r="56" s="51" customFormat="1" x14ac:dyDescent="0.25"/>
    <row r="57" s="51" customFormat="1" x14ac:dyDescent="0.25"/>
    <row r="58" s="51" customFormat="1" x14ac:dyDescent="0.25"/>
    <row r="59" s="51" customFormat="1" x14ac:dyDescent="0.25"/>
    <row r="60" s="51" customFormat="1" x14ac:dyDescent="0.25"/>
    <row r="61" s="51" customFormat="1" x14ac:dyDescent="0.25"/>
    <row r="62" s="51" customFormat="1" x14ac:dyDescent="0.25"/>
    <row r="63" s="51" customFormat="1" x14ac:dyDescent="0.25"/>
    <row r="64" s="51" customFormat="1" x14ac:dyDescent="0.25"/>
    <row r="65" s="51" customFormat="1" x14ac:dyDescent="0.25"/>
    <row r="66" s="51" customFormat="1" x14ac:dyDescent="0.25"/>
    <row r="67" s="51" customFormat="1" x14ac:dyDescent="0.25"/>
    <row r="68" s="51" customFormat="1" x14ac:dyDescent="0.25"/>
    <row r="69" s="51" customFormat="1" x14ac:dyDescent="0.25"/>
    <row r="70" s="51" customFormat="1" x14ac:dyDescent="0.25"/>
    <row r="71" s="51" customFormat="1" x14ac:dyDescent="0.25"/>
    <row r="72" s="51" customFormat="1" x14ac:dyDescent="0.25"/>
    <row r="73" s="51" customFormat="1" x14ac:dyDescent="0.25"/>
    <row r="74" s="51" customFormat="1" x14ac:dyDescent="0.25"/>
    <row r="75" s="51" customFormat="1" x14ac:dyDescent="0.25"/>
    <row r="76" s="51" customFormat="1" x14ac:dyDescent="0.25"/>
    <row r="77" s="51" customFormat="1" x14ac:dyDescent="0.25"/>
    <row r="78" s="51" customFormat="1" x14ac:dyDescent="0.25"/>
    <row r="79" s="51" customFormat="1" x14ac:dyDescent="0.25"/>
    <row r="80" s="51" customFormat="1" x14ac:dyDescent="0.25"/>
    <row r="81" s="51" customFormat="1" x14ac:dyDescent="0.25"/>
    <row r="82" s="51" customFormat="1" x14ac:dyDescent="0.25"/>
    <row r="83" s="51" customFormat="1" x14ac:dyDescent="0.25"/>
    <row r="84" s="51" customFormat="1" x14ac:dyDescent="0.25"/>
    <row r="85" s="51" customFormat="1" x14ac:dyDescent="0.25"/>
    <row r="86" s="51" customFormat="1" x14ac:dyDescent="0.25"/>
    <row r="87" s="51" customFormat="1" x14ac:dyDescent="0.25"/>
    <row r="88" s="51" customFormat="1" x14ac:dyDescent="0.25"/>
    <row r="89" s="51" customFormat="1" x14ac:dyDescent="0.25"/>
    <row r="90" s="51" customFormat="1" x14ac:dyDescent="0.25"/>
    <row r="91" s="51" customFormat="1" x14ac:dyDescent="0.25"/>
    <row r="92" s="51" customFormat="1" x14ac:dyDescent="0.25"/>
    <row r="93" s="51" customFormat="1" x14ac:dyDescent="0.25"/>
    <row r="94" s="51" customFormat="1" x14ac:dyDescent="0.25"/>
    <row r="95" s="51" customFormat="1" x14ac:dyDescent="0.25"/>
    <row r="96" s="51" customFormat="1" x14ac:dyDescent="0.25"/>
    <row r="97" s="51" customFormat="1" x14ac:dyDescent="0.25"/>
    <row r="98" s="51" customFormat="1" x14ac:dyDescent="0.25"/>
    <row r="99" s="51" customFormat="1" x14ac:dyDescent="0.25"/>
    <row r="100" s="51" customFormat="1" x14ac:dyDescent="0.25"/>
    <row r="101" s="51" customFormat="1" x14ac:dyDescent="0.25"/>
    <row r="102" s="51" customFormat="1" x14ac:dyDescent="0.25"/>
    <row r="103" s="51" customFormat="1" x14ac:dyDescent="0.25"/>
    <row r="104" s="51" customFormat="1" x14ac:dyDescent="0.25"/>
    <row r="105" s="51" customFormat="1" x14ac:dyDescent="0.25"/>
    <row r="106" s="51" customFormat="1" x14ac:dyDescent="0.25"/>
    <row r="107" s="51" customFormat="1" x14ac:dyDescent="0.25"/>
    <row r="108" s="51" customFormat="1" x14ac:dyDescent="0.25"/>
    <row r="109" s="51" customFormat="1" x14ac:dyDescent="0.25"/>
    <row r="110" s="51" customFormat="1" x14ac:dyDescent="0.25"/>
    <row r="111" s="51" customFormat="1" x14ac:dyDescent="0.25"/>
    <row r="112" s="51" customFormat="1" x14ac:dyDescent="0.25"/>
    <row r="113" s="51" customFormat="1" x14ac:dyDescent="0.25"/>
    <row r="114" s="51" customFormat="1" x14ac:dyDescent="0.25"/>
    <row r="115" s="51" customFormat="1" x14ac:dyDescent="0.25"/>
    <row r="116" s="51" customFormat="1" x14ac:dyDescent="0.25"/>
    <row r="117" s="51" customFormat="1" x14ac:dyDescent="0.25"/>
    <row r="118" s="51" customFormat="1" x14ac:dyDescent="0.25"/>
    <row r="119" s="51" customFormat="1" x14ac:dyDescent="0.25"/>
    <row r="120" s="51" customFormat="1" x14ac:dyDescent="0.25"/>
    <row r="121" s="51" customFormat="1" x14ac:dyDescent="0.25"/>
    <row r="122" s="51" customFormat="1" x14ac:dyDescent="0.25"/>
    <row r="123" s="51" customFormat="1" x14ac:dyDescent="0.25"/>
    <row r="124" s="51" customFormat="1" x14ac:dyDescent="0.25"/>
    <row r="125" s="51" customFormat="1" x14ac:dyDescent="0.25"/>
    <row r="126" s="51" customFormat="1" x14ac:dyDescent="0.25"/>
    <row r="127" s="51" customFormat="1" x14ac:dyDescent="0.25"/>
    <row r="128" s="51" customFormat="1" x14ac:dyDescent="0.25"/>
    <row r="129" s="51" customFormat="1" x14ac:dyDescent="0.25"/>
    <row r="130" s="51" customFormat="1" x14ac:dyDescent="0.25"/>
    <row r="131" s="51" customFormat="1" x14ac:dyDescent="0.25"/>
    <row r="132" s="51" customFormat="1" x14ac:dyDescent="0.25"/>
    <row r="133" s="51" customFormat="1" x14ac:dyDescent="0.25"/>
    <row r="134" s="51" customFormat="1" x14ac:dyDescent="0.25"/>
    <row r="135" s="51" customFormat="1" x14ac:dyDescent="0.25"/>
    <row r="136" s="51" customFormat="1" x14ac:dyDescent="0.25"/>
    <row r="137" s="51" customFormat="1" x14ac:dyDescent="0.25"/>
    <row r="138" s="51" customFormat="1" x14ac:dyDescent="0.25"/>
    <row r="139" s="51" customFormat="1" x14ac:dyDescent="0.25"/>
    <row r="140" s="51" customFormat="1" x14ac:dyDescent="0.25"/>
    <row r="141" s="51" customFormat="1" x14ac:dyDescent="0.25"/>
    <row r="142" s="51" customFormat="1" x14ac:dyDescent="0.25"/>
    <row r="143" s="51" customFormat="1" x14ac:dyDescent="0.25"/>
    <row r="144" s="51" customFormat="1" x14ac:dyDescent="0.25"/>
    <row r="145" s="51" customFormat="1" x14ac:dyDescent="0.25"/>
    <row r="146" s="51" customFormat="1" x14ac:dyDescent="0.25"/>
    <row r="147" s="51" customFormat="1" x14ac:dyDescent="0.25"/>
    <row r="148" s="51" customFormat="1" x14ac:dyDescent="0.25"/>
    <row r="149" s="51" customFormat="1" x14ac:dyDescent="0.25"/>
    <row r="150" s="51" customFormat="1" x14ac:dyDescent="0.25"/>
    <row r="151" s="51" customFormat="1" x14ac:dyDescent="0.25"/>
    <row r="152" s="51" customFormat="1" x14ac:dyDescent="0.25"/>
    <row r="153" s="51" customFormat="1" x14ac:dyDescent="0.25"/>
    <row r="154" s="51" customFormat="1" x14ac:dyDescent="0.25"/>
    <row r="155" s="51" customFormat="1" x14ac:dyDescent="0.25"/>
    <row r="156" s="51" customFormat="1" x14ac:dyDescent="0.25"/>
    <row r="157" s="51" customFormat="1" x14ac:dyDescent="0.25"/>
    <row r="158" s="51" customFormat="1" x14ac:dyDescent="0.25"/>
    <row r="159" s="51" customFormat="1" x14ac:dyDescent="0.25"/>
    <row r="160" s="51" customFormat="1" x14ac:dyDescent="0.25"/>
    <row r="161" s="51" customFormat="1" x14ac:dyDescent="0.25"/>
    <row r="162" s="51" customFormat="1" x14ac:dyDescent="0.25"/>
    <row r="163" s="51" customFormat="1" x14ac:dyDescent="0.25"/>
    <row r="164" s="51" customFormat="1" x14ac:dyDescent="0.25"/>
    <row r="165" s="51" customFormat="1" x14ac:dyDescent="0.25"/>
    <row r="166" s="51" customFormat="1" x14ac:dyDescent="0.25"/>
    <row r="167" s="51" customFormat="1" x14ac:dyDescent="0.25"/>
    <row r="168" s="51" customFormat="1" x14ac:dyDescent="0.25"/>
    <row r="169" s="51" customFormat="1" x14ac:dyDescent="0.25"/>
    <row r="170" s="51" customFormat="1" x14ac:dyDescent="0.25"/>
    <row r="171" s="51" customFormat="1" x14ac:dyDescent="0.25"/>
    <row r="172" s="51" customFormat="1" x14ac:dyDescent="0.25"/>
    <row r="173" s="51" customFormat="1" x14ac:dyDescent="0.25"/>
    <row r="174" s="51" customFormat="1" x14ac:dyDescent="0.25"/>
    <row r="175" s="51" customFormat="1" x14ac:dyDescent="0.25"/>
    <row r="176" s="51" customFormat="1" x14ac:dyDescent="0.25"/>
    <row r="177" s="51" customFormat="1" x14ac:dyDescent="0.25"/>
    <row r="178" s="51" customFormat="1" x14ac:dyDescent="0.25"/>
    <row r="179" s="51" customFormat="1" x14ac:dyDescent="0.25"/>
    <row r="180" s="51" customFormat="1" x14ac:dyDescent="0.25"/>
    <row r="181" s="51" customFormat="1" x14ac:dyDescent="0.25"/>
    <row r="182" s="51" customFormat="1" x14ac:dyDescent="0.25"/>
    <row r="183" s="51" customFormat="1" x14ac:dyDescent="0.25"/>
    <row r="184" s="51" customFormat="1" x14ac:dyDescent="0.25"/>
    <row r="185" s="51" customFormat="1" x14ac:dyDescent="0.25"/>
    <row r="186" s="51" customFormat="1" x14ac:dyDescent="0.25"/>
    <row r="187" s="51" customFormat="1" x14ac:dyDescent="0.25"/>
    <row r="188" s="51" customFormat="1" x14ac:dyDescent="0.25"/>
    <row r="189" s="51" customFormat="1" x14ac:dyDescent="0.25"/>
    <row r="190" s="51" customFormat="1" x14ac:dyDescent="0.25"/>
    <row r="191" s="51" customFormat="1" x14ac:dyDescent="0.25"/>
    <row r="192" s="51" customFormat="1" x14ac:dyDescent="0.25"/>
    <row r="193" s="51" customFormat="1" x14ac:dyDescent="0.25"/>
    <row r="194" s="51" customFormat="1" x14ac:dyDescent="0.25"/>
    <row r="195" s="51" customFormat="1" x14ac:dyDescent="0.25"/>
    <row r="196" s="51" customFormat="1" x14ac:dyDescent="0.25"/>
    <row r="197" s="51" customFormat="1" x14ac:dyDescent="0.25"/>
    <row r="198" s="51" customFormat="1" x14ac:dyDescent="0.25"/>
    <row r="199" s="51" customFormat="1" x14ac:dyDescent="0.25"/>
    <row r="200" s="51" customFormat="1" x14ac:dyDescent="0.25"/>
    <row r="201" s="51" customFormat="1" x14ac:dyDescent="0.25"/>
    <row r="202" s="51" customFormat="1" x14ac:dyDescent="0.25"/>
    <row r="203" s="51" customFormat="1" x14ac:dyDescent="0.25"/>
    <row r="204" s="51" customFormat="1" x14ac:dyDescent="0.25"/>
    <row r="205" s="51" customFormat="1" x14ac:dyDescent="0.25"/>
    <row r="206" s="51" customFormat="1" x14ac:dyDescent="0.25"/>
    <row r="207" s="51" customFormat="1" x14ac:dyDescent="0.25"/>
    <row r="208" s="51" customFormat="1" x14ac:dyDescent="0.25"/>
    <row r="209" s="51" customFormat="1" x14ac:dyDescent="0.25"/>
    <row r="210" s="51" customFormat="1" x14ac:dyDescent="0.25"/>
    <row r="211" s="51" customFormat="1" x14ac:dyDescent="0.25"/>
    <row r="212" s="51" customFormat="1" x14ac:dyDescent="0.25"/>
    <row r="213" s="51" customFormat="1" x14ac:dyDescent="0.25"/>
    <row r="214" s="51" customFormat="1" x14ac:dyDescent="0.25"/>
    <row r="215" s="51" customFormat="1" x14ac:dyDescent="0.25"/>
    <row r="216" s="51" customFormat="1" x14ac:dyDescent="0.25"/>
    <row r="217" s="51" customFormat="1" x14ac:dyDescent="0.25"/>
  </sheetData>
  <sheetProtection sheet="1" objects="1" scenarios="1"/>
  <mergeCells count="18">
    <mergeCell ref="B32:M32"/>
    <mergeCell ref="B12:M12"/>
    <mergeCell ref="B13:M13"/>
    <mergeCell ref="B14:M14"/>
    <mergeCell ref="B15:M15"/>
    <mergeCell ref="B16:M16"/>
    <mergeCell ref="B17:M17"/>
    <mergeCell ref="B18:M18"/>
    <mergeCell ref="B28:M28"/>
    <mergeCell ref="B29:M29"/>
    <mergeCell ref="B30:M30"/>
    <mergeCell ref="B31:M31"/>
    <mergeCell ref="B11:M11"/>
    <mergeCell ref="A1:F1"/>
    <mergeCell ref="A2:F2"/>
    <mergeCell ref="B8:M8"/>
    <mergeCell ref="B9:M9"/>
    <mergeCell ref="B10:M10"/>
  </mergeCells>
  <hyperlinks>
    <hyperlink ref="A3" location="Index!A1" display="Index" xr:uid="{82161F19-E4E2-4265-9839-B9CA5B77F644}"/>
    <hyperlink ref="B13:M13" r:id="rId1" display="● Transmission and distribution losses are no longer published for overseas electricity, since these are now calculated and published by the IEA." xr:uid="{09D2AAEA-11E6-4583-B0D2-FA8F7F05B754}"/>
  </hyperlinks>
  <pageMargins left="0.7" right="0.7" top="0.75" bottom="0.75" header="0.3" footer="0.3"/>
  <pageSetup paperSize="9" scale="18" fitToHeight="0" orientation="landscape" r:id="rId2"/>
  <headerFooter alignWithMargins="0"/>
  <legacy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59B19-C371-4474-82A3-CCB1023E807A}">
  <sheetPr codeName="Sheet12"/>
  <dimension ref="A2:C10"/>
  <sheetViews>
    <sheetView workbookViewId="0">
      <selection activeCell="A2" sqref="A2"/>
    </sheetView>
  </sheetViews>
  <sheetFormatPr defaultRowHeight="15" x14ac:dyDescent="0.2"/>
  <sheetData>
    <row r="2" spans="1:3" x14ac:dyDescent="0.2">
      <c r="A2" t="s">
        <v>362</v>
      </c>
      <c r="B2" t="s">
        <v>339</v>
      </c>
      <c r="C2">
        <v>2022</v>
      </c>
    </row>
    <row r="3" spans="1:3" x14ac:dyDescent="0.2">
      <c r="A3" t="s">
        <v>363</v>
      </c>
      <c r="B3" t="s">
        <v>364</v>
      </c>
      <c r="C3">
        <v>2023</v>
      </c>
    </row>
    <row r="4" spans="1:3" x14ac:dyDescent="0.2">
      <c r="B4" t="s">
        <v>365</v>
      </c>
      <c r="C4">
        <v>2024</v>
      </c>
    </row>
    <row r="5" spans="1:3" x14ac:dyDescent="0.2">
      <c r="B5" t="s">
        <v>366</v>
      </c>
      <c r="C5">
        <v>2025</v>
      </c>
    </row>
    <row r="6" spans="1:3" x14ac:dyDescent="0.2">
      <c r="B6" t="s">
        <v>367</v>
      </c>
      <c r="C6">
        <v>2026</v>
      </c>
    </row>
    <row r="7" spans="1:3" x14ac:dyDescent="0.2">
      <c r="C7">
        <v>2027</v>
      </c>
    </row>
    <row r="8" spans="1:3" x14ac:dyDescent="0.2">
      <c r="C8">
        <v>2028</v>
      </c>
    </row>
    <row r="9" spans="1:3" x14ac:dyDescent="0.2">
      <c r="C9">
        <v>2029</v>
      </c>
    </row>
    <row r="10" spans="1:3" x14ac:dyDescent="0.2">
      <c r="C10">
        <v>2030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p:properties xmlns:p="http://schemas.microsoft.com/office/2006/metadata/properties" xmlns:xsi="http://www.w3.org/2001/XMLSchema-instance" xmlns:pc="http://schemas.microsoft.com/office/infopath/2007/PartnerControls">
  <documentManagement>
    <TaxCatchAll xmlns="faac64c1-01ff-446a-acab-2cde8bf797ec">
      <Value>1</Value>
    </TaxCatchAll>
    <lcf76f155ced4ddcb4097134ff3c332f xmlns="2baed3fd-e151-4071-ba61-84ee9d9612ee">
      <Terms xmlns="http://schemas.microsoft.com/office/infopath/2007/PartnerControls"/>
    </lcf76f155ced4ddcb4097134ff3c332f>
    <Government_x0020_Body xmlns="b413c3fd-5a3b-4239-b985-69032e371c04">BEIS</Government_x0020_Body>
    <Date_x0020_Opened xmlns="b413c3fd-5a3b-4239-b985-69032e371c04">2025-11-14T17:21:41+00:00</Date_x0020_Opened>
    <LegacyData xmlns="aaacb922-5235-4a66-b188-303b9b46fbd7" xsi:nil="true"/>
    <Descriptor xmlns="0063f72e-ace3-48fb-9c1f-5b513408b31f" xsi:nil="true"/>
    <m975189f4ba442ecbf67d4147307b177 xmlns="faac64c1-01ff-446a-acab-2cde8bf797ec">
      <Terms xmlns="http://schemas.microsoft.com/office/infopath/2007/PartnerControls">
        <TermInfo xmlns="http://schemas.microsoft.com/office/infopath/2007/PartnerControls">
          <TermName xmlns="http://schemas.microsoft.com/office/infopath/2007/PartnerControls">BEIS:Net Zero, Buildings and Industry:Industrial Energy:UK ETS Delivery</TermName>
          <TermId xmlns="http://schemas.microsoft.com/office/infopath/2007/PartnerControls">1788b8e5-6d0a-4cde-aaf0-425d3e6d5788</TermId>
        </TermInfo>
      </Terms>
    </m975189f4ba442ecbf67d4147307b177>
    <Security_x0020_Classification xmlns="0063f72e-ace3-48fb-9c1f-5b513408b31f">OFFICIAL</Security_x0020_Classification>
    <Retention_x0020_Label xmlns="a8f60570-4bd3-4f2b-950b-a996de8ab151" xsi:nil="true"/>
    <Date_x0020_Closed xmlns="b413c3fd-5a3b-4239-b985-69032e371c04" xsi:nil="true"/>
    <_dlc_DocId xmlns="faac64c1-01ff-446a-acab-2cde8bf797ec">ASRAD667UMXK-1755778968-99131</_dlc_DocId>
    <_dlc_DocIdUrl xmlns="faac64c1-01ff-446a-acab-2cde8bf797ec">
      <Url>https://beisgov.sharepoint.com/sites/UKETSDelShare/_layouts/15/DocIdRedir.aspx?ID=ASRAD667UMXK-1755778968-99131</Url>
      <Description>ASRAD667UMXK-1755778968-99131</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21FBFA0342EB724A95B4909723D26D68" ma:contentTypeVersion="27" ma:contentTypeDescription="Create a new document." ma:contentTypeScope="" ma:versionID="9f73127bd524aa37d537c8f8a9614cae">
  <xsd:schema xmlns:xsd="http://www.w3.org/2001/XMLSchema" xmlns:xs="http://www.w3.org/2001/XMLSchema" xmlns:p="http://schemas.microsoft.com/office/2006/metadata/properties" xmlns:ns2="faac64c1-01ff-446a-acab-2cde8bf797ec" xmlns:ns3="0063f72e-ace3-48fb-9c1f-5b513408b31f" xmlns:ns4="b413c3fd-5a3b-4239-b985-69032e371c04" xmlns:ns5="a8f60570-4bd3-4f2b-950b-a996de8ab151" xmlns:ns6="aaacb922-5235-4a66-b188-303b9b46fbd7" xmlns:ns7="2baed3fd-e151-4071-ba61-84ee9d9612ee" targetNamespace="http://schemas.microsoft.com/office/2006/metadata/properties" ma:root="true" ma:fieldsID="b74f7526d4175d03565fcead37811760" ns2:_="" ns3:_="" ns4:_="" ns5:_="" ns6:_="" ns7:_="">
    <xsd:import namespace="faac64c1-01ff-446a-acab-2cde8bf797ec"/>
    <xsd:import namespace="0063f72e-ace3-48fb-9c1f-5b513408b31f"/>
    <xsd:import namespace="b413c3fd-5a3b-4239-b985-69032e371c04"/>
    <xsd:import namespace="a8f60570-4bd3-4f2b-950b-a996de8ab151"/>
    <xsd:import namespace="aaacb922-5235-4a66-b188-303b9b46fbd7"/>
    <xsd:import namespace="2baed3fd-e151-4071-ba61-84ee9d9612ee"/>
    <xsd:element name="properties">
      <xsd:complexType>
        <xsd:sequence>
          <xsd:element name="documentManagement">
            <xsd:complexType>
              <xsd:all>
                <xsd:element ref="ns2:_dlc_DocId" minOccurs="0"/>
                <xsd:element ref="ns2:_dlc_DocIdUrl" minOccurs="0"/>
                <xsd:element ref="ns2:_dlc_DocIdPersistId" minOccurs="0"/>
                <xsd:element ref="ns3:Security_x0020_Classification" minOccurs="0"/>
                <xsd:element ref="ns3:Descriptor" minOccurs="0"/>
                <xsd:element ref="ns2:m975189f4ba442ecbf67d4147307b177" minOccurs="0"/>
                <xsd:element ref="ns2:TaxCatchAll" minOccurs="0"/>
                <xsd:element ref="ns2:TaxCatchAllLabel" minOccurs="0"/>
                <xsd:element ref="ns4:Government_x0020_Body" minOccurs="0"/>
                <xsd:element ref="ns4:Date_x0020_Opened" minOccurs="0"/>
                <xsd:element ref="ns4:Date_x0020_Closed" minOccurs="0"/>
                <xsd:element ref="ns5:Retention_x0020_Label" minOccurs="0"/>
                <xsd:element ref="ns6:LegacyData" minOccurs="0"/>
                <xsd:element ref="ns2:SharedWithUsers" minOccurs="0"/>
                <xsd:element ref="ns2:SharedWithDetails" minOccurs="0"/>
                <xsd:element ref="ns7:MediaServiceMetadata" minOccurs="0"/>
                <xsd:element ref="ns7:MediaServiceFastMetadata" minOccurs="0"/>
                <xsd:element ref="ns7:MediaServiceAutoKeyPoints" minOccurs="0"/>
                <xsd:element ref="ns7:MediaServiceKeyPoints" minOccurs="0"/>
                <xsd:element ref="ns7:MediaServiceDateTaken" minOccurs="0"/>
                <xsd:element ref="ns7:MediaLengthInSeconds" minOccurs="0"/>
                <xsd:element ref="ns7:MediaServiceAutoTags" minOccurs="0"/>
                <xsd:element ref="ns7:MediaServiceGenerationTime" minOccurs="0"/>
                <xsd:element ref="ns7:MediaServiceEventHashCode" minOccurs="0"/>
                <xsd:element ref="ns7:MediaServiceOCR" minOccurs="0"/>
                <xsd:element ref="ns7:lcf76f155ced4ddcb4097134ff3c332f" minOccurs="0"/>
                <xsd:element ref="ns7:MediaServiceObjectDetectorVersions" minOccurs="0"/>
                <xsd:element ref="ns7:MediaServiceSearchProperties" minOccurs="0"/>
                <xsd:element ref="ns7: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ac64c1-01ff-446a-acab-2cde8bf797e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m975189f4ba442ecbf67d4147307b177" ma:index="13" nillable="true" ma:taxonomy="true" ma:internalName="m975189f4ba442ecbf67d4147307b177" ma:taxonomyFieldName="Business_x0020_Unit" ma:displayName="Business Unit" ma:default="1;#BEIS:Net Zero, Buildings and Industry:Industrial Energy:UK ETS Delivery|1788b8e5-6d0a-4cde-aaf0-425d3e6d5788" ma:fieldId="{6975189f-4ba4-42ec-bf67-d4147307b177}" ma:sspId="9b0aeba9-2bce-41c2-8545-5d12d676a674" ma:termSetId="6f71e40e-3a2e-4baf-91d9-2069eb354530" ma:anchorId="00000000-0000-0000-0000-000000000000" ma:open="false" ma:isKeyword="false">
      <xsd:complexType>
        <xsd:sequence>
          <xsd:element ref="pc:Terms" minOccurs="0" maxOccurs="1"/>
        </xsd:sequence>
      </xsd:complexType>
    </xsd:element>
    <xsd:element name="TaxCatchAll" ma:index="14" nillable="true" ma:displayName="Taxonomy Catch All Column" ma:hidden="true" ma:list="{4d34a679-3cd7-4e7b-a89d-519d3252f1ff}" ma:internalName="TaxCatchAll" ma:showField="CatchAllData" ma:web="faac64c1-01ff-446a-acab-2cde8bf797ec">
      <xsd:complexType>
        <xsd:complexContent>
          <xsd:extension base="dms:MultiChoiceLookup">
            <xsd:sequence>
              <xsd:element name="Value" type="dms:Lookup" maxOccurs="unbounded" minOccurs="0" nillable="true"/>
            </xsd:sequence>
          </xsd:extension>
        </xsd:complexContent>
      </xsd:complexType>
    </xsd:element>
    <xsd:element name="TaxCatchAllLabel" ma:index="15" nillable="true" ma:displayName="Taxonomy Catch All Column1" ma:hidden="true" ma:list="{4d34a679-3cd7-4e7b-a89d-519d3252f1ff}" ma:internalName="TaxCatchAllLabel" ma:readOnly="true" ma:showField="CatchAllDataLabel" ma:web="faac64c1-01ff-446a-acab-2cde8bf797ec">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063f72e-ace3-48fb-9c1f-5b513408b31f" elementFormDefault="qualified">
    <xsd:import namespace="http://schemas.microsoft.com/office/2006/documentManagement/types"/>
    <xsd:import namespace="http://schemas.microsoft.com/office/infopath/2007/PartnerControls"/>
    <xsd:element name="Security_x0020_Classification" ma:index="11" nillable="true" ma:displayName="Security Classification" ma:default="OFFICIAL" ma:format="Dropdown" ma:indexed="true" ma:internalName="Security_x0020_Classification">
      <xsd:simpleType>
        <xsd:restriction base="dms:Choice">
          <xsd:enumeration value="OFFICIAL"/>
          <xsd:enumeration value="OFFICIAL - SENSITIVE"/>
        </xsd:restriction>
      </xsd:simpleType>
    </xsd:element>
    <xsd:element name="Descriptor" ma:index="12" nillable="true" ma:displayName="Descriptor" ma:default="" ma:format="Dropdown" ma:indexed="true" ma:internalName="Descriptor">
      <xsd:simpleType>
        <xsd:restriction base="dms:Choice">
          <xsd:enumeration value="COMMERCIAL"/>
          <xsd:enumeration value="PERSONAL"/>
          <xsd:enumeration value="LOCSEN"/>
        </xsd:restriction>
      </xsd:simpleType>
    </xsd:element>
  </xsd:schema>
  <xsd:schema xmlns:xsd="http://www.w3.org/2001/XMLSchema" xmlns:xs="http://www.w3.org/2001/XMLSchema" xmlns:dms="http://schemas.microsoft.com/office/2006/documentManagement/types" xmlns:pc="http://schemas.microsoft.com/office/infopath/2007/PartnerControls" targetNamespace="b413c3fd-5a3b-4239-b985-69032e371c04" elementFormDefault="qualified">
    <xsd:import namespace="http://schemas.microsoft.com/office/2006/documentManagement/types"/>
    <xsd:import namespace="http://schemas.microsoft.com/office/infopath/2007/PartnerControls"/>
    <xsd:element name="Government_x0020_Body" ma:index="17" nillable="true" ma:displayName="Government Body" ma:default="BEIS" ma:internalName="Government_x0020_Body">
      <xsd:simpleType>
        <xsd:restriction base="dms:Text">
          <xsd:maxLength value="255"/>
        </xsd:restriction>
      </xsd:simpleType>
    </xsd:element>
    <xsd:element name="Date_x0020_Opened" ma:index="18" nillable="true" ma:displayName="Date Opened" ma:default="[Today]" ma:format="DateOnly" ma:internalName="Date_x0020_Opened">
      <xsd:simpleType>
        <xsd:restriction base="dms:DateTime"/>
      </xsd:simpleType>
    </xsd:element>
    <xsd:element name="Date_x0020_Closed" ma:index="19" nillable="true" ma:displayName="Date Closed" ma:format="DateOnly" ma:internalName="Date_x0020_Closed">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a8f60570-4bd3-4f2b-950b-a996de8ab151" elementFormDefault="qualified">
    <xsd:import namespace="http://schemas.microsoft.com/office/2006/documentManagement/types"/>
    <xsd:import namespace="http://schemas.microsoft.com/office/infopath/2007/PartnerControls"/>
    <xsd:element name="Retention_x0020_Label" ma:index="20" nillable="true" ma:displayName="Retention Label" ma:internalName="Retention_x0020_Label">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aacb922-5235-4a66-b188-303b9b46fbd7" elementFormDefault="qualified">
    <xsd:import namespace="http://schemas.microsoft.com/office/2006/documentManagement/types"/>
    <xsd:import namespace="http://schemas.microsoft.com/office/infopath/2007/PartnerControls"/>
    <xsd:element name="LegacyData" ma:index="21" nillable="true" ma:displayName="Legacy Data" ma:internalName="LegacyData">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baed3fd-e151-4071-ba61-84ee9d9612ee" elementFormDefault="qualified">
    <xsd:import namespace="http://schemas.microsoft.com/office/2006/documentManagement/types"/>
    <xsd:import namespace="http://schemas.microsoft.com/office/infopath/2007/PartnerControls"/>
    <xsd:element name="MediaServiceMetadata" ma:index="24" nillable="true" ma:displayName="MediaServiceMetadata" ma:hidden="true" ma:internalName="MediaServiceMetadata" ma:readOnly="true">
      <xsd:simpleType>
        <xsd:restriction base="dms:Note"/>
      </xsd:simpleType>
    </xsd:element>
    <xsd:element name="MediaServiceFastMetadata" ma:index="25" nillable="true" ma:displayName="MediaServiceFastMetadata" ma:hidden="true" ma:internalName="MediaServiceFastMetadata" ma:readOnly="true">
      <xsd:simpleType>
        <xsd:restriction base="dms:Note"/>
      </xsd:simpleType>
    </xsd:element>
    <xsd:element name="MediaServiceAutoKeyPoints" ma:index="26" nillable="true" ma:displayName="MediaServiceAutoKeyPoints" ma:hidden="true" ma:internalName="MediaServiceAutoKeyPoints" ma:readOnly="true">
      <xsd:simpleType>
        <xsd:restriction base="dms:Note"/>
      </xsd:simpleType>
    </xsd:element>
    <xsd:element name="MediaServiceKeyPoints" ma:index="27" nillable="true" ma:displayName="KeyPoints" ma:internalName="MediaServiceKeyPoints" ma:readOnly="true">
      <xsd:simpleType>
        <xsd:restriction base="dms:Note">
          <xsd:maxLength value="255"/>
        </xsd:restriction>
      </xsd:simpleType>
    </xsd:element>
    <xsd:element name="MediaServiceDateTaken" ma:index="28" nillable="true" ma:displayName="MediaServiceDateTaken" ma:hidden="true" ma:internalName="MediaServiceDateTaken" ma:readOnly="true">
      <xsd:simpleType>
        <xsd:restriction base="dms:Text"/>
      </xsd:simpleType>
    </xsd:element>
    <xsd:element name="MediaLengthInSeconds" ma:index="29" nillable="true" ma:displayName="MediaLengthInSeconds" ma:hidden="true" ma:internalName="MediaLengthInSeconds" ma:readOnly="true">
      <xsd:simpleType>
        <xsd:restriction base="dms:Unknown"/>
      </xsd:simpleType>
    </xsd:element>
    <xsd:element name="MediaServiceAutoTags" ma:index="30" nillable="true" ma:displayName="Tags" ma:internalName="MediaServiceAutoTags" ma:readOnly="true">
      <xsd:simpleType>
        <xsd:restriction base="dms:Text"/>
      </xsd:simpleType>
    </xsd:element>
    <xsd:element name="MediaServiceGenerationTime" ma:index="31" nillable="true" ma:displayName="MediaServiceGenerationTime" ma:hidden="true" ma:internalName="MediaServiceGenerationTime" ma:readOnly="true">
      <xsd:simpleType>
        <xsd:restriction base="dms:Text"/>
      </xsd:simpleType>
    </xsd:element>
    <xsd:element name="MediaServiceEventHashCode" ma:index="32" nillable="true" ma:displayName="MediaServiceEventHashCode" ma:hidden="true" ma:internalName="MediaServiceEventHashCode" ma:readOnly="true">
      <xsd:simpleType>
        <xsd:restriction base="dms:Text"/>
      </xsd:simpleType>
    </xsd:element>
    <xsd:element name="MediaServiceOCR" ma:index="33" nillable="true" ma:displayName="Extracted Text" ma:internalName="MediaServiceOCR" ma:readOnly="true">
      <xsd:simpleType>
        <xsd:restriction base="dms:Note">
          <xsd:maxLength value="255"/>
        </xsd:restriction>
      </xsd:simpleType>
    </xsd:element>
    <xsd:element name="lcf76f155ced4ddcb4097134ff3c332f" ma:index="35" nillable="true" ma:taxonomy="true" ma:internalName="lcf76f155ced4ddcb4097134ff3c332f" ma:taxonomyFieldName="MediaServiceImageTags" ma:displayName="Image Tags" ma:readOnly="false" ma:fieldId="{5cf76f15-5ced-4ddc-b409-7134ff3c332f}" ma:taxonomyMulti="true" ma:sspId="9b0aeba9-2bce-41c2-8545-5d12d676a67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36" nillable="true" ma:displayName="MediaServiceObjectDetectorVersions" ma:hidden="true" ma:indexed="true" ma:internalName="MediaServiceObjectDetectorVersions" ma:readOnly="true">
      <xsd:simpleType>
        <xsd:restriction base="dms:Text"/>
      </xsd:simpleType>
    </xsd:element>
    <xsd:element name="MediaServiceSearchProperties" ma:index="37" nillable="true" ma:displayName="MediaServiceSearchProperties" ma:hidden="true" ma:internalName="MediaServiceSearchProperties" ma:readOnly="true">
      <xsd:simpleType>
        <xsd:restriction base="dms:Note"/>
      </xsd:simpleType>
    </xsd:element>
    <xsd:element name="MediaServiceLocation" ma:index="38" nillable="true" ma:displayName="Location" ma:descrip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6E37FB4-3A04-4727-B5A9-6B0AAD6B4B79}">
  <ds:schemaRefs>
    <ds:schemaRef ds:uri="http://schemas.microsoft.com/sharepoint/events"/>
  </ds:schemaRefs>
</ds:datastoreItem>
</file>

<file path=customXml/itemProps2.xml><?xml version="1.0" encoding="utf-8"?>
<ds:datastoreItem xmlns:ds="http://schemas.openxmlformats.org/officeDocument/2006/customXml" ds:itemID="{73A0B188-9982-470B-AC2A-BD368A40AD66}">
  <ds:schemaRefs>
    <ds:schemaRef ds:uri="http://schemas.microsoft.com/office/2006/metadata/properties"/>
    <ds:schemaRef ds:uri="81936f9c-53d8-4266-aa9b-a06434fad9b0"/>
    <ds:schemaRef ds:uri="http://schemas.microsoft.com/office/infopath/2007/PartnerControls"/>
    <ds:schemaRef ds:uri="http://purl.org/dc/elements/1.1/"/>
    <ds:schemaRef ds:uri="http://purl.org/dc/terms/"/>
    <ds:schemaRef ds:uri="http://purl.org/dc/dcmitype/"/>
    <ds:schemaRef ds:uri="http://schemas.microsoft.com/office/2006/documentManagement/types"/>
    <ds:schemaRef ds:uri="http://schemas.openxmlformats.org/package/2006/metadata/core-properties"/>
    <ds:schemaRef ds:uri="3e1b29f8-7008-403b-b2fb-9ef1de52b77a"/>
    <ds:schemaRef ds:uri="http://www.w3.org/XML/1998/namespace"/>
    <ds:schemaRef ds:uri="faac64c1-01ff-446a-acab-2cde8bf797ec"/>
    <ds:schemaRef ds:uri="2baed3fd-e151-4071-ba61-84ee9d9612ee"/>
    <ds:schemaRef ds:uri="b413c3fd-5a3b-4239-b985-69032e371c04"/>
    <ds:schemaRef ds:uri="aaacb922-5235-4a66-b188-303b9b46fbd7"/>
    <ds:schemaRef ds:uri="0063f72e-ace3-48fb-9c1f-5b513408b31f"/>
    <ds:schemaRef ds:uri="a8f60570-4bd3-4f2b-950b-a996de8ab151"/>
  </ds:schemaRefs>
</ds:datastoreItem>
</file>

<file path=customXml/itemProps3.xml><?xml version="1.0" encoding="utf-8"?>
<ds:datastoreItem xmlns:ds="http://schemas.openxmlformats.org/officeDocument/2006/customXml" ds:itemID="{2018DC58-D054-48C6-815F-305266190C5E}">
  <ds:schemaRefs>
    <ds:schemaRef ds:uri="http://schemas.microsoft.com/sharepoint/v3/contenttype/forms"/>
  </ds:schemaRefs>
</ds:datastoreItem>
</file>

<file path=customXml/itemProps4.xml><?xml version="1.0" encoding="utf-8"?>
<ds:datastoreItem xmlns:ds="http://schemas.openxmlformats.org/officeDocument/2006/customXml" ds:itemID="{798D588F-2481-4190-B886-663C88A0E0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aac64c1-01ff-446a-acab-2cde8bf797ec"/>
    <ds:schemaRef ds:uri="0063f72e-ace3-48fb-9c1f-5b513408b31f"/>
    <ds:schemaRef ds:uri="b413c3fd-5a3b-4239-b985-69032e371c04"/>
    <ds:schemaRef ds:uri="a8f60570-4bd3-4f2b-950b-a996de8ab151"/>
    <ds:schemaRef ds:uri="aaacb922-5235-4a66-b188-303b9b46fbd7"/>
    <ds:schemaRef ds:uri="2baed3fd-e151-4071-ba61-84ee9d9612e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cbac7005-02c1-43eb-b497-e6492d1b2dd8}" enabled="0" method="" siteId="{cbac7005-02c1-43eb-b497-e6492d1b2dd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168</vt:i4>
      </vt:variant>
    </vt:vector>
  </HeadingPairs>
  <TitlesOfParts>
    <vt:vector size="182" baseType="lpstr">
      <vt:lpstr>Facility details</vt:lpstr>
      <vt:lpstr>Base year fuel types</vt:lpstr>
      <vt:lpstr>Base year data split</vt:lpstr>
      <vt:lpstr>Facility targets</vt:lpstr>
      <vt:lpstr>Data for MyCCA</vt:lpstr>
      <vt:lpstr>Monthly BY data (optional)</vt:lpstr>
      <vt:lpstr>Weekly BY data (optional)</vt:lpstr>
      <vt:lpstr>Monthly BY multi-prod</vt:lpstr>
      <vt:lpstr>Weekly BY multi-prod</vt:lpstr>
      <vt:lpstr>Fuels</vt:lpstr>
      <vt:lpstr>Fuel properties</vt:lpstr>
      <vt:lpstr>UK electricity</vt:lpstr>
      <vt:lpstr>Transmission and distribution</vt:lpstr>
      <vt:lpstr>Lists</vt:lpstr>
      <vt:lpstr>CARBON</vt:lpstr>
      <vt:lpstr>carbonFactorOtherFuel01</vt:lpstr>
      <vt:lpstr>carbonFactorOtherFuel02</vt:lpstr>
      <vt:lpstr>carbonFactorOtherFuel03</vt:lpstr>
      <vt:lpstr>carbonFactorOtherFuel04</vt:lpstr>
      <vt:lpstr>carbonFactorOtherFuel05</vt:lpstr>
      <vt:lpstr>carbonFactorOtherFuel06</vt:lpstr>
      <vt:lpstr>carbonFactorOtherFuel07</vt:lpstr>
      <vt:lpstr>carbonFactorOtherFuel08</vt:lpstr>
      <vt:lpstr>carbonFactorOtherFuel09</vt:lpstr>
      <vt:lpstr>carbonFactorOtherFuel10</vt:lpstr>
      <vt:lpstr>carbonFactorOtherFuel11</vt:lpstr>
      <vt:lpstr>ENERGY</vt:lpstr>
      <vt:lpstr>facilityAddress</vt:lpstr>
      <vt:lpstr>facilityBaseYear</vt:lpstr>
      <vt:lpstr>facilityBYStartDate</vt:lpstr>
      <vt:lpstr>facilityBYWeightedCarbonFactor</vt:lpstr>
      <vt:lpstr>facilityID</vt:lpstr>
      <vt:lpstr>facilityInETS</vt:lpstr>
      <vt:lpstr>facilityName</vt:lpstr>
      <vt:lpstr>facilityTargetTP7</vt:lpstr>
      <vt:lpstr>facilityTargetTP8</vt:lpstr>
      <vt:lpstr>facilityTargetTP9</vt:lpstr>
      <vt:lpstr>fixedPrimaryAmount</vt:lpstr>
      <vt:lpstr>fixedThroughput</vt:lpstr>
      <vt:lpstr>fixedThroughputUnit</vt:lpstr>
      <vt:lpstr>fixWkly</vt:lpstr>
      <vt:lpstr>nameOtherFuel01</vt:lpstr>
      <vt:lpstr>nameOtherFuel02</vt:lpstr>
      <vt:lpstr>nameOtherFuel03</vt:lpstr>
      <vt:lpstr>nameOtherFuel04</vt:lpstr>
      <vt:lpstr>nameOtherFuel05</vt:lpstr>
      <vt:lpstr>nameOtherFuel06</vt:lpstr>
      <vt:lpstr>nameOtherFuel07</vt:lpstr>
      <vt:lpstr>nameOtherFuel08</vt:lpstr>
      <vt:lpstr>nameOtherFuel09</vt:lpstr>
      <vt:lpstr>nameOtherFuel10</vt:lpstr>
      <vt:lpstr>nameOtherFuel11</vt:lpstr>
      <vt:lpstr>primaryAmountAll</vt:lpstr>
      <vt:lpstr>'Monthly BY data (optional)'!primaryBaseYearEnergy</vt:lpstr>
      <vt:lpstr>'Monthly BY multi-prod'!primaryBaseYearEnergy</vt:lpstr>
      <vt:lpstr>'Weekly BY data (optional)'!primaryBaseYearEnergy</vt:lpstr>
      <vt:lpstr>'Weekly BY multi-prod'!primaryBaseYearEnergy</vt:lpstr>
      <vt:lpstr>primaryCoal</vt:lpstr>
      <vt:lpstr>primaryCoke</vt:lpstr>
      <vt:lpstr>primaryEthane</vt:lpstr>
      <vt:lpstr>primaryFuelOil</vt:lpstr>
      <vt:lpstr>primaryGasOil</vt:lpstr>
      <vt:lpstr>primaryGridElec</vt:lpstr>
      <vt:lpstr>primaryKerosene</vt:lpstr>
      <vt:lpstr>primaryLPG</vt:lpstr>
      <vt:lpstr>primaryNaphtha</vt:lpstr>
      <vt:lpstr>primaryNaturalGas</vt:lpstr>
      <vt:lpstr>primaryNonGridElecRenewables</vt:lpstr>
      <vt:lpstr>primaryOtherFuel01</vt:lpstr>
      <vt:lpstr>primaryOtherFuel02</vt:lpstr>
      <vt:lpstr>primaryOtherFuel03</vt:lpstr>
      <vt:lpstr>primaryOtherFuel04</vt:lpstr>
      <vt:lpstr>primaryOtherFuel05</vt:lpstr>
      <vt:lpstr>primaryOtherFuel06</vt:lpstr>
      <vt:lpstr>primaryOtherFuel07</vt:lpstr>
      <vt:lpstr>primaryOtherFuel08</vt:lpstr>
      <vt:lpstr>primaryOtherFuel09</vt:lpstr>
      <vt:lpstr>primaryOtherFuel10</vt:lpstr>
      <vt:lpstr>primaryOtherFuel11</vt:lpstr>
      <vt:lpstr>primaryPetCoke</vt:lpstr>
      <vt:lpstr>primaryPetrol</vt:lpstr>
      <vt:lpstr>primaryRefineryGas</vt:lpstr>
      <vt:lpstr>productBaseYear</vt:lpstr>
      <vt:lpstr>reportingUnits</vt:lpstr>
      <vt:lpstr>sectorTargetTP7</vt:lpstr>
      <vt:lpstr>sectorTargetTP8</vt:lpstr>
      <vt:lpstr>sectorTargetTP9</vt:lpstr>
      <vt:lpstr>targetType</vt:lpstr>
      <vt:lpstr>variableIntensityProduct01</vt:lpstr>
      <vt:lpstr>variableIntensityProduct02</vt:lpstr>
      <vt:lpstr>variableIntensityProduct03</vt:lpstr>
      <vt:lpstr>variableIntensityProduct04</vt:lpstr>
      <vt:lpstr>variableIntensityProduct05</vt:lpstr>
      <vt:lpstr>variableIntensityProduct06</vt:lpstr>
      <vt:lpstr>variableIntensityProduct07</vt:lpstr>
      <vt:lpstr>variableIntensityProduct08</vt:lpstr>
      <vt:lpstr>variableIntensityProduct09</vt:lpstr>
      <vt:lpstr>variableIntensityProduct10</vt:lpstr>
      <vt:lpstr>variableIntensityProduct11</vt:lpstr>
      <vt:lpstr>variableIntensityProduct12</vt:lpstr>
      <vt:lpstr>variableIntensityProduct13</vt:lpstr>
      <vt:lpstr>variableIntensityProduct14</vt:lpstr>
      <vt:lpstr>variableIntensityProduct15</vt:lpstr>
      <vt:lpstr>variablePrimaryAmountProduct01</vt:lpstr>
      <vt:lpstr>variablePrimaryAmountProduct02</vt:lpstr>
      <vt:lpstr>variablePrimaryAmountProduct03</vt:lpstr>
      <vt:lpstr>variablePrimaryAmountProduct04</vt:lpstr>
      <vt:lpstr>variablePrimaryAmountProduct05</vt:lpstr>
      <vt:lpstr>variablePrimaryAmountProduct06</vt:lpstr>
      <vt:lpstr>variablePrimaryAmountProduct07</vt:lpstr>
      <vt:lpstr>variablePrimaryAmountProduct08</vt:lpstr>
      <vt:lpstr>variablePrimaryAmountProduct09</vt:lpstr>
      <vt:lpstr>variablePrimaryAmountProduct10</vt:lpstr>
      <vt:lpstr>variablePrimaryAmountProduct11</vt:lpstr>
      <vt:lpstr>variablePrimaryAmountProduct12</vt:lpstr>
      <vt:lpstr>variablePrimaryAmountProduct13</vt:lpstr>
      <vt:lpstr>variablePrimaryAmountProduct14</vt:lpstr>
      <vt:lpstr>variablePrimaryAmountProduct15</vt:lpstr>
      <vt:lpstr>variableProductName01</vt:lpstr>
      <vt:lpstr>variableProductName02</vt:lpstr>
      <vt:lpstr>variableProductName03</vt:lpstr>
      <vt:lpstr>variableProductName04</vt:lpstr>
      <vt:lpstr>variableProductName05</vt:lpstr>
      <vt:lpstr>variableProductName06</vt:lpstr>
      <vt:lpstr>variableProductName07</vt:lpstr>
      <vt:lpstr>variableProductName08</vt:lpstr>
      <vt:lpstr>variableProductName09</vt:lpstr>
      <vt:lpstr>variableProductName10</vt:lpstr>
      <vt:lpstr>variableProductName11</vt:lpstr>
      <vt:lpstr>variableProductName12</vt:lpstr>
      <vt:lpstr>variableProductName13</vt:lpstr>
      <vt:lpstr>variableProductName14</vt:lpstr>
      <vt:lpstr>variableProductName15</vt:lpstr>
      <vt:lpstr>variableThroughputProduct01</vt:lpstr>
      <vt:lpstr>variableThroughputProduct02</vt:lpstr>
      <vt:lpstr>variableThroughputProduct03</vt:lpstr>
      <vt:lpstr>variableThroughputProduct04</vt:lpstr>
      <vt:lpstr>variableThroughputProduct05</vt:lpstr>
      <vt:lpstr>variableThroughputProduct06</vt:lpstr>
      <vt:lpstr>variableThroughputProduct07</vt:lpstr>
      <vt:lpstr>variableThroughputProduct08</vt:lpstr>
      <vt:lpstr>variableThroughputProduct09</vt:lpstr>
      <vt:lpstr>variableThroughputProduct10</vt:lpstr>
      <vt:lpstr>variableThroughputProduct11</vt:lpstr>
      <vt:lpstr>variableThroughputProduct12</vt:lpstr>
      <vt:lpstr>variableThroughputProduct13</vt:lpstr>
      <vt:lpstr>variableThroughputProduct14</vt:lpstr>
      <vt:lpstr>variableThroughputProduct15</vt:lpstr>
      <vt:lpstr>variableThroughputUnitProduct01</vt:lpstr>
      <vt:lpstr>variableThroughputUnitProduct02</vt:lpstr>
      <vt:lpstr>variableThroughputUnitProduct03</vt:lpstr>
      <vt:lpstr>variableThroughputUnitProduct04</vt:lpstr>
      <vt:lpstr>variableThroughputUnitProduct05</vt:lpstr>
      <vt:lpstr>variableThroughputUnitProduct06</vt:lpstr>
      <vt:lpstr>variableThroughputUnitProduct07</vt:lpstr>
      <vt:lpstr>variableThroughputUnitProduct08</vt:lpstr>
      <vt:lpstr>variableThroughputUnitProduct09</vt:lpstr>
      <vt:lpstr>variableThroughputUnitProduct10</vt:lpstr>
      <vt:lpstr>variableThroughputUnitProduct11</vt:lpstr>
      <vt:lpstr>variableThroughputUnitProduct12</vt:lpstr>
      <vt:lpstr>variableThroughputUnitProduct13</vt:lpstr>
      <vt:lpstr>variableThroughputUnitProduct14</vt:lpstr>
      <vt:lpstr>variableThroughputUnitProduct15</vt:lpstr>
      <vt:lpstr>variableTotalIntensity</vt:lpstr>
      <vt:lpstr>variableTotalPrimaryAmount</vt:lpstr>
      <vt:lpstr>variableTotalThroughput</vt:lpstr>
      <vt:lpstr>variableTotalThroughputUnit</vt:lpstr>
      <vt:lpstr>varWklyProd1</vt:lpstr>
      <vt:lpstr>varWklyProd10</vt:lpstr>
      <vt:lpstr>varWklyProd11</vt:lpstr>
      <vt:lpstr>varWklyProd12</vt:lpstr>
      <vt:lpstr>varWklyProd13</vt:lpstr>
      <vt:lpstr>varWklyProd14</vt:lpstr>
      <vt:lpstr>varWklyProd15</vt:lpstr>
      <vt:lpstr>varWklyProd2</vt:lpstr>
      <vt:lpstr>varWklyProd3</vt:lpstr>
      <vt:lpstr>varWklyProd4</vt:lpstr>
      <vt:lpstr>varWklyProd5</vt:lpstr>
      <vt:lpstr>varWklyProd6</vt:lpstr>
      <vt:lpstr>varWklyProd7</vt:lpstr>
      <vt:lpstr>varWklyProd8</vt:lpstr>
      <vt:lpstr>varWklyProd9</vt:lpstr>
    </vt:vector>
  </TitlesOfParts>
  <Manager/>
  <Company>Defra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Ray Cottam</dc:creator>
  <cp:keywords/>
  <dc:description/>
  <cp:lastModifiedBy>Ray Cottam</cp:lastModifiedBy>
  <cp:revision/>
  <dcterms:created xsi:type="dcterms:W3CDTF">2025-08-05T09:04:44Z</dcterms:created>
  <dcterms:modified xsi:type="dcterms:W3CDTF">2025-11-15T15:21:13Z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0x01010021FBFA0342EB724A95B4909723D26D68</vt:lpwstr>
  </property>
  <property fmtid="{D5CDD505-2E9C-101B-9397-08002B2CF9AE}" pid="3" name="MediaServiceImageTags">
    <vt:lpwstr/>
  </property>
  <property fmtid="{D5CDD505-2E9C-101B-9397-08002B2CF9AE}" pid="4" name="Business Unit">
    <vt:lpwstr>1;#BEIS:Net Zero, Buildings and Industry:Industrial Energy:UK ETS Delivery|1788b8e5-6d0a-4cde-aaf0-425d3e6d5788</vt:lpwstr>
  </property>
  <property fmtid="{D5CDD505-2E9C-101B-9397-08002B2CF9AE}" pid="5" name="Business_x0020_Unit">
    <vt:lpwstr>1;#BEIS:Net Zero, Buildings and Industry:Industrial Energy:UK ETS Delivery|1788b8e5-6d0a-4cde-aaf0-425d3e6d5788</vt:lpwstr>
  </property>
  <property fmtid="{D5CDD505-2E9C-101B-9397-08002B2CF9AE}" pid="6" name="_dlc_DocIdItemGuid">
    <vt:lpwstr>462336c8-d7af-4bac-84c7-27679444c644</vt:lpwstr>
  </property>
</Properties>
</file>